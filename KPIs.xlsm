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5.xml"/>
  <Override ContentType="application/vnd.openxmlformats-officedocument.spreadsheetml.worksheet+xml" PartName="/xl/worksheets/sheet4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3.xml"/>
  <Override ContentType="application/vnd.openxmlformats-officedocument.drawing+xml" PartName="/xl/drawings/drawing6.xml"/>
  <Override ContentType="application/vnd.openxmlformats-officedocument.drawing+xml" PartName="/xl/drawings/drawing5.xml"/>
  <Override ContentType="application/vnd.openxmlformats-officedocument.drawing+xml" PartName="/xl/drawings/drawing1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drawingml.chart+xml" PartName="/xl/charts/chart1.xml"/>
  <Override ContentType="application/vnd.openxmlformats-officedocument.drawingml.chart+xml" PartName="/xl/charts/chart4.xml"/>
  <Override ContentType="application/vnd.openxmlformats-officedocument.drawingml.chart+xml" PartName="/xl/charts/chart3.xml"/>
  <Override ContentType="application/vnd.openxmlformats-officedocument.drawingml.chart+xml" PartName="/xl/charts/chart2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Carga Diaria" sheetId="1" r:id="rId4"/>
    <sheet state="visible" name="Dashboard Diario" sheetId="2" r:id="rId5"/>
    <sheet state="visible" name="Dashboard semanal" sheetId="3" r:id="rId6"/>
    <sheet state="visible" name="Estado Mensual" sheetId="4" r:id="rId7"/>
    <sheet state="hidden" name="Seguimiento Semanal" sheetId="5" r:id="rId8"/>
    <sheet state="hidden" name="Tendencia y Diagnóstico" sheetId="6" r:id="rId9"/>
    <sheet state="hidden" name="Config  Metas" sheetId="7" r:id="rId10"/>
  </sheets>
  <definedNames/>
  <calcPr/>
  <extLst>
    <ext uri="GoogleSheetsCustomDataVersion2">
      <go:sheetsCustomData xmlns:go="http://customooxmlschemas.google.com/" r:id="rId11" roundtripDataChecksum="fy1sOzRg0fGPCOjyfzoBAxKQVIAIMYfYSYZrpMT6WhY="/>
    </ext>
  </extLst>
</workbook>
</file>

<file path=xl/sharedStrings.xml><?xml version="1.0" encoding="utf-8"?>
<sst xmlns="http://schemas.openxmlformats.org/spreadsheetml/2006/main" count="325" uniqueCount="212">
  <si>
    <t>Fecha</t>
  </si>
  <si>
    <t>Semana</t>
  </si>
  <si>
    <t>Día</t>
  </si>
  <si>
    <t>Leads Nuevos Recibidos</t>
  </si>
  <si>
    <t>Llamadas Realizadas</t>
  </si>
  <si>
    <t>Contactos Efectivos</t>
  </si>
  <si>
    <t>Tasa de Contacto</t>
  </si>
  <si>
    <t>Agendas Logradas</t>
  </si>
  <si>
    <t>Tasa de Agendamiento</t>
  </si>
  <si>
    <t>Reuniones Realizadas</t>
  </si>
  <si>
    <t>Tasa de Show</t>
  </si>
  <si>
    <t>Reservas</t>
  </si>
  <si>
    <t>Tasa de Reserva</t>
  </si>
  <si>
    <t>Ventas / Promesas Firmadas</t>
  </si>
  <si>
    <t>Tasa de Cierre</t>
  </si>
  <si>
    <t>UF Vendidas</t>
  </si>
  <si>
    <t>Ingreso Bruto Estimado</t>
  </si>
  <si>
    <t>Diagnóstico Diario</t>
  </si>
  <si>
    <t>Observaciones</t>
  </si>
  <si>
    <t>Acción Correctiva</t>
  </si>
  <si>
    <t>PANEL DIARIO — CONTROL COMERCIAL TEAM LEADER</t>
  </si>
  <si>
    <t>Fecha seleccionada</t>
  </si>
  <si>
    <t>Diagnóstico del día</t>
  </si>
  <si>
    <t>RESUMEN DEL DÍA SELECCIONADO</t>
  </si>
  <si>
    <t>KPI</t>
  </si>
  <si>
    <t>Resultado</t>
  </si>
  <si>
    <t>Meta Dinámica</t>
  </si>
  <si>
    <t>Estado</t>
  </si>
  <si>
    <t>Leads</t>
  </si>
  <si>
    <t>-</t>
  </si>
  <si>
    <t>Informativo</t>
  </si>
  <si>
    <t>Tasa Agendamiento</t>
  </si>
  <si>
    <t>Ventas</t>
  </si>
  <si>
    <t>Llamadas</t>
  </si>
  <si>
    <t>Reuniones</t>
  </si>
  <si>
    <t>Tasa Cierre</t>
  </si>
  <si>
    <t>Contactos</t>
  </si>
  <si>
    <t>Tasa Show</t>
  </si>
  <si>
    <t>Tasa Contacto</t>
  </si>
  <si>
    <t>Ingreso Est.</t>
  </si>
  <si>
    <t>Agendas</t>
  </si>
  <si>
    <t>Tasa Reserva</t>
  </si>
  <si>
    <t>EMBUDO DIARIO</t>
  </si>
  <si>
    <t>Etapa</t>
  </si>
  <si>
    <t>Conversión</t>
  </si>
  <si>
    <t>Lectura</t>
  </si>
  <si>
    <t>Indicador</t>
  </si>
  <si>
    <t>Real acumulado</t>
  </si>
  <si>
    <t>Meta acum. dinámica</t>
  </si>
  <si>
    <t>Acciones / Observaciones del día</t>
  </si>
  <si>
    <t>Leads recibidos</t>
  </si>
  <si>
    <t>Volumen inicial</t>
  </si>
  <si>
    <t>Llamadas realizadas</t>
  </si>
  <si>
    <t>Actividad comercial</t>
  </si>
  <si>
    <t>Contactos efectivos</t>
  </si>
  <si>
    <t>Horario/script</t>
  </si>
  <si>
    <t>Agendas logradas</t>
  </si>
  <si>
    <t>Apertura</t>
  </si>
  <si>
    <t>Reuniones realizadas</t>
  </si>
  <si>
    <t>Confirmación</t>
  </si>
  <si>
    <t>Señal de compra</t>
  </si>
  <si>
    <t>Ventas / Promesas</t>
  </si>
  <si>
    <t>Cierre</t>
  </si>
  <si>
    <t>PANEL TEAM LEADER — RENDIMIENTO SEMANAL</t>
  </si>
  <si>
    <t>Contacto</t>
  </si>
  <si>
    <t>Semana seleccionada</t>
  </si>
  <si>
    <t>Sem 1</t>
  </si>
  <si>
    <t>Diagnóstico automático</t>
  </si>
  <si>
    <t>Agendamiento</t>
  </si>
  <si>
    <t>Show</t>
  </si>
  <si>
    <t>Show Rate</t>
  </si>
  <si>
    <t>Reserva</t>
  </si>
  <si>
    <t>UF</t>
  </si>
  <si>
    <t>Ingreso</t>
  </si>
  <si>
    <t>EMBUDO COMERCIAL DE LA SEMANA</t>
  </si>
  <si>
    <t>Lectura rápida</t>
  </si>
  <si>
    <t>DIAGNÓSTICO EJECUTIVO Y ACCIONES SUGERIDAS</t>
  </si>
  <si>
    <t>Calidad de horario/script</t>
  </si>
  <si>
    <t>Capacidad de apertura</t>
  </si>
  <si>
    <t>Asistencia / confirmación</t>
  </si>
  <si>
    <t>Cierre final</t>
  </si>
  <si>
    <t>TENDENCIA MÓVIL 4 SEMANAS</t>
  </si>
  <si>
    <t>Prom. 4 sem</t>
  </si>
  <si>
    <t>Tendencia</t>
  </si>
  <si>
    <t>RESERVAS POR SEMANA — GRÁFICA DE PUNTOS</t>
  </si>
  <si>
    <t>ESTADO MENSUAL — RESERVAS Y PROMESAS</t>
  </si>
  <si>
    <t>Mes seleccionado</t>
  </si>
  <si>
    <t>Cómo leer esta hoja</t>
  </si>
  <si>
    <t>Esta vista resume solo reservas y promesas por mes.</t>
  </si>
  <si>
    <t>Reservas mes</t>
  </si>
  <si>
    <t>Promesas mes</t>
  </si>
  <si>
    <t>Conversión Reserva → Promesa</t>
  </si>
  <si>
    <t>No se carga nada manual aquí: toma datos desde Carga Diaria.</t>
  </si>
  <si>
    <t>La conversión usa Promesas / Reservas.</t>
  </si>
  <si>
    <t>La meta se compara contra Config / Metas → Tasa de Cierre.</t>
  </si>
  <si>
    <t>Mes</t>
  </si>
  <si>
    <t>Reservas Realizadas</t>
  </si>
  <si>
    <t>Promesas Firmadas</t>
  </si>
  <si>
    <t>Mes gráfico</t>
  </si>
  <si>
    <t>Promesas</t>
  </si>
  <si>
    <t>Usa esta hoja para revisar cuántas reservas se generaron por mes y cuántas terminaron en promesa firmada.</t>
  </si>
  <si>
    <t>La métrica clave es Conversión Reserva → Promesa. Si queda bajo meta, revisa objeciones, documentación y seguimiento post-reserva.</t>
  </si>
  <si>
    <t>Esta vista se alimenta automáticamente desde Carga Diaria.</t>
  </si>
  <si>
    <t>Tasa de Contacto (%)</t>
  </si>
  <si>
    <t>Tasa de Agendamiento (%)</t>
  </si>
  <si>
    <t>Tasa de Show (%)</t>
  </si>
  <si>
    <t>Reservas (Señal de Compra)</t>
  </si>
  <si>
    <t>Tasa de Reserva (%)</t>
  </si>
  <si>
    <t>Ventas (Promesas Firmadas)</t>
  </si>
  <si>
    <t>Tasa de Cierre (%)</t>
  </si>
  <si>
    <t>UF Vendidas (Resultado)</t>
  </si>
  <si>
    <t>Var % vs Ant. - Llamadas</t>
  </si>
  <si>
    <t>Var % vs Ant. - Contactos</t>
  </si>
  <si>
    <t>Var % vs Ant. - Tasa Contacto</t>
  </si>
  <si>
    <t>Var % vs Ant. - Agendas</t>
  </si>
  <si>
    <t>Var % vs Ant. - Tasa Agendamiento</t>
  </si>
  <si>
    <t>Var % vs Ant. - Reuniones</t>
  </si>
  <si>
    <t>Var % vs Ant. - Tasa Show</t>
  </si>
  <si>
    <t>Var % vs Ant. - Reservas</t>
  </si>
  <si>
    <t>Var % vs Ant. - Tasa Reserva</t>
  </si>
  <si>
    <t>Var % vs Ant. - Ventas</t>
  </si>
  <si>
    <t>Var % vs Ant. - Tasa Cierre</t>
  </si>
  <si>
    <t>Var % vs Ant. - UF Vendidas</t>
  </si>
  <si>
    <t>Var % vs Ant. - Ingreso Bruto</t>
  </si>
  <si>
    <t>Diagnóstico Automático</t>
  </si>
  <si>
    <t>Sem 2</t>
  </si>
  <si>
    <t>Sem 3</t>
  </si>
  <si>
    <t>Sem 4</t>
  </si>
  <si>
    <t>Sem 5</t>
  </si>
  <si>
    <t>Sem 6</t>
  </si>
  <si>
    <t>Sem 7</t>
  </si>
  <si>
    <t>Sem 8</t>
  </si>
  <si>
    <t>Sem 9</t>
  </si>
  <si>
    <t>Sem 10</t>
  </si>
  <si>
    <t>Sem 11</t>
  </si>
  <si>
    <t>Sem 12</t>
  </si>
  <si>
    <t>Sem 13</t>
  </si>
  <si>
    <t>Sem 14</t>
  </si>
  <si>
    <t>Sem 15</t>
  </si>
  <si>
    <t>Sem 16</t>
  </si>
  <si>
    <t>Sem 17</t>
  </si>
  <si>
    <t>Sem 18</t>
  </si>
  <si>
    <t>Sem 19</t>
  </si>
  <si>
    <t>Sem 20</t>
  </si>
  <si>
    <t>Sem 21</t>
  </si>
  <si>
    <t>Sem 22</t>
  </si>
  <si>
    <t>Sem 23</t>
  </si>
  <si>
    <t>Sem 24</t>
  </si>
  <si>
    <t>Sem 25</t>
  </si>
  <si>
    <t>Sem 26</t>
  </si>
  <si>
    <t>Sem 27</t>
  </si>
  <si>
    <t>Sem 28</t>
  </si>
  <si>
    <t>Sem 29</t>
  </si>
  <si>
    <t>Sem 30</t>
  </si>
  <si>
    <t>Sem 31</t>
  </si>
  <si>
    <t>Sem 32</t>
  </si>
  <si>
    <t>Sem 33</t>
  </si>
  <si>
    <t>Sem 34</t>
  </si>
  <si>
    <t>Sem 35</t>
  </si>
  <si>
    <t>Sem 36</t>
  </si>
  <si>
    <t>Sem 37</t>
  </si>
  <si>
    <t>Sem 38</t>
  </si>
  <si>
    <t>Sem 39</t>
  </si>
  <si>
    <t>Sem 40</t>
  </si>
  <si>
    <t>Sem 41</t>
  </si>
  <si>
    <t>Sem 42</t>
  </si>
  <si>
    <t>Sem 43</t>
  </si>
  <si>
    <t>Sem 44</t>
  </si>
  <si>
    <t>Sem 45</t>
  </si>
  <si>
    <t>Sem 46</t>
  </si>
  <si>
    <t>Sem 47</t>
  </si>
  <si>
    <t>Sem 48</t>
  </si>
  <si>
    <t>Sem 49</t>
  </si>
  <si>
    <t>Sem 50</t>
  </si>
  <si>
    <t>Sem 51</t>
  </si>
  <si>
    <t>Sem 52</t>
  </si>
  <si>
    <t>Llamadas/Sem</t>
  </si>
  <si>
    <t>UF Vendidas/Sem</t>
  </si>
  <si>
    <t>Meta</t>
  </si>
  <si>
    <t>Tipo</t>
  </si>
  <si>
    <t>Comentario</t>
  </si>
  <si>
    <t>Tasa</t>
  </si>
  <si>
    <t>Contactos efectivos / llamadas realizadas</t>
  </si>
  <si>
    <t>Agendas logradas / contactos efectivos</t>
  </si>
  <si>
    <t>Reuniones realizadas / agendas logradas</t>
  </si>
  <si>
    <t>Reservas / reuniones realizadas</t>
  </si>
  <si>
    <t>Ventas o promesas firmadas / reservas</t>
  </si>
  <si>
    <t>Piso semanal de producción</t>
  </si>
  <si>
    <t>Cobertura de llamados / Leads</t>
  </si>
  <si>
    <t>Meta dinámica: llamadas esperadas = leads recibidos × cobertura</t>
  </si>
  <si>
    <t>UF promedio por venta</t>
  </si>
  <si>
    <t>Usado para estimar UF meta dinámica desde ventas esperadas</t>
  </si>
  <si>
    <t>Ingreso por UF</t>
  </si>
  <si>
    <t>CLP</t>
  </si>
  <si>
    <t>Factor actual: UF × 0,6 × 40.000</t>
  </si>
  <si>
    <t>Meta dinámica Contactos / Lead</t>
  </si>
  <si>
    <t>Derivada</t>
  </si>
  <si>
    <t>Cobertura × Tasa de Contacto</t>
  </si>
  <si>
    <t>Meta dinámica Agendas / Lead</t>
  </si>
  <si>
    <t>Contactos/Lead × Tasa de Agendamiento</t>
  </si>
  <si>
    <t>Meta dinámica Reuniones / Lead</t>
  </si>
  <si>
    <t>Agendas/Lead × Tasa de Show</t>
  </si>
  <si>
    <t>Meta dinámica Reservas / Lead</t>
  </si>
  <si>
    <t>Reuniones/Lead × Tasa de Reserva</t>
  </si>
  <si>
    <t>Meta dinámica Ventas / Lead</t>
  </si>
  <si>
    <t>Reservas/Lead × Tasa de Cierre</t>
  </si>
  <si>
    <t>Nota</t>
  </si>
  <si>
    <t>Las metas diarias ya no son fijas.</t>
  </si>
  <si>
    <t>Uso</t>
  </si>
  <si>
    <t>Se calculan con los leads del día × porcentajes configurados.</t>
  </si>
  <si>
    <t>Fecha inicio seguimiento</t>
  </si>
  <si>
    <t>La Semana 1 comienza el lunes 25-05-2026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</si>
</sst>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5">
    <numFmt numFmtId="164" formatCode="dd-mm-yyyy"/>
    <numFmt numFmtId="165" formatCode="$#,##0"/>
    <numFmt numFmtId="166" formatCode="#,##0.0"/>
    <numFmt numFmtId="167" formatCode="mmmm yyyy"/>
    <numFmt numFmtId="168" formatCode="0.0%"/>
  </numFmts>
  <fonts count="19">
    <font>
      <sz val="11.0"/>
      <color rgb="FF000000"/>
      <name val="Arial"/>
      <scheme val="minor"/>
    </font>
    <font>
      <b/>
      <sz val="11.0"/>
      <color rgb="FFFFFFFF"/>
      <name val="Carlito"/>
    </font>
    <font>
      <color theme="1"/>
      <name val="Arial"/>
      <scheme val="minor"/>
    </font>
    <font>
      <sz val="11.0"/>
      <color theme="1"/>
      <name val="Carlito"/>
    </font>
    <font>
      <b/>
      <sz val="16.0"/>
      <color rgb="FFFFFFFF"/>
      <name val="Carlito"/>
    </font>
    <font>
      <sz val="8.0"/>
      <color rgb="FF94A3B8"/>
      <name val="Carlito"/>
    </font>
    <font>
      <b/>
      <sz val="11.0"/>
      <color theme="1"/>
      <name val="Carlito"/>
    </font>
    <font>
      <b/>
      <sz val="12.0"/>
      <color rgb="FFFFFFFF"/>
      <name val="Carlito"/>
    </font>
    <font>
      <b/>
      <sz val="18.0"/>
      <color rgb="FFFFFFFF"/>
      <name val="Carlito"/>
    </font>
    <font>
      <sz val="11.0"/>
      <color rgb="FFFFFFFF"/>
      <name val="Carlito"/>
    </font>
    <font>
      <b/>
      <sz val="11.0"/>
      <color rgb="FF111827"/>
      <name val="Carlito"/>
    </font>
    <font>
      <b/>
      <sz val="16.0"/>
      <color rgb="FF111827"/>
      <name val="Carlito"/>
    </font>
    <font>
      <sz val="9.0"/>
      <color rgb="FF374151"/>
      <name val="Carlito"/>
    </font>
    <font>
      <sz val="11.0"/>
      <color rgb="FF111827"/>
      <name val="Carlito"/>
    </font>
    <font>
      <b/>
      <sz val="11.0"/>
      <color rgb="FF17365D"/>
      <name val="Carlito"/>
    </font>
    <font>
      <b/>
      <sz val="11.0"/>
      <color rgb="FF000000"/>
      <name val="Carlito"/>
    </font>
    <font>
      <sz val="11.0"/>
      <color rgb="FF333333"/>
      <name val="Carlito"/>
    </font>
    <font>
      <b/>
      <sz val="14.0"/>
      <color theme="1"/>
      <name val="Carlito"/>
    </font>
    <font>
      <sz val="11.0"/>
      <color rgb="FF7F6000"/>
      <name val="Carlito"/>
    </font>
  </fonts>
  <fills count="21">
    <fill>
      <patternFill patternType="none"/>
    </fill>
    <fill>
      <patternFill patternType="lightGray"/>
    </fill>
    <fill>
      <patternFill patternType="solid">
        <fgColor rgb="FF0F172A"/>
        <bgColor rgb="FF0F172A"/>
      </patternFill>
    </fill>
    <fill>
      <patternFill patternType="solid">
        <fgColor rgb="FFF3F4F6"/>
        <bgColor rgb="FFF3F4F6"/>
      </patternFill>
    </fill>
    <fill>
      <patternFill patternType="solid">
        <fgColor rgb="FFFFFFFF"/>
        <bgColor rgb="FFFFFFFF"/>
      </patternFill>
    </fill>
    <fill>
      <patternFill patternType="solid">
        <fgColor rgb="FFF8FAFC"/>
        <bgColor rgb="FFF8FAFC"/>
      </patternFill>
    </fill>
    <fill>
      <patternFill patternType="solid">
        <fgColor rgb="FFE2E8F0"/>
        <bgColor rgb="FFE2E8F0"/>
      </patternFill>
    </fill>
    <fill>
      <patternFill patternType="solid">
        <fgColor rgb="FF334155"/>
        <bgColor rgb="FF334155"/>
      </patternFill>
    </fill>
    <fill>
      <patternFill patternType="solid">
        <fgColor rgb="FF64748B"/>
        <bgColor rgb="FF64748B"/>
      </patternFill>
    </fill>
    <fill>
      <patternFill patternType="solid">
        <fgColor rgb="FF111827"/>
        <bgColor rgb="FF111827"/>
      </patternFill>
    </fill>
    <fill>
      <patternFill patternType="solid">
        <fgColor rgb="FFE5E7EB"/>
        <bgColor rgb="FFE5E7EB"/>
      </patternFill>
    </fill>
    <fill>
      <patternFill patternType="solid">
        <fgColor rgb="FFF9FAFB"/>
        <bgColor rgb="FFF9FAFB"/>
      </patternFill>
    </fill>
    <fill>
      <patternFill patternType="solid">
        <fgColor rgb="FF374151"/>
        <bgColor rgb="FF374151"/>
      </patternFill>
    </fill>
    <fill>
      <patternFill patternType="solid">
        <fgColor rgb="FF1F2937"/>
        <bgColor rgb="FF1F2937"/>
      </patternFill>
    </fill>
    <fill>
      <patternFill patternType="solid">
        <fgColor rgb="FFD1D5DB"/>
        <bgColor rgb="FFD1D5DB"/>
      </patternFill>
    </fill>
    <fill>
      <patternFill patternType="solid">
        <fgColor rgb="FF1F4E78"/>
        <bgColor rgb="FF1F4E78"/>
      </patternFill>
    </fill>
    <fill>
      <patternFill patternType="solid">
        <fgColor rgb="FFD9EAF7"/>
        <bgColor rgb="FFD9EAF7"/>
      </patternFill>
    </fill>
    <fill>
      <patternFill patternType="solid">
        <fgColor rgb="FFF4B183"/>
        <bgColor rgb="FFF4B183"/>
      </patternFill>
    </fill>
    <fill>
      <patternFill patternType="solid">
        <fgColor rgb="FFFFF2CC"/>
        <bgColor rgb="FFFFF2CC"/>
      </patternFill>
    </fill>
    <fill>
      <patternFill patternType="solid">
        <fgColor rgb="FF274E13"/>
        <bgColor rgb="FF274E13"/>
      </patternFill>
    </fill>
    <fill>
      <patternFill patternType="solid">
        <fgColor rgb="FFF7FBF5"/>
        <bgColor rgb="FFF7FBF5"/>
      </patternFill>
    </fill>
  </fills>
  <borders count="3">
    <border/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</border>
    <border>
      <left/>
      <right/>
      <top/>
      <bottom/>
    </border>
  </borders>
  <cellStyleXfs count="1">
    <xf borderId="0" fillId="0" fontId="0" numFmtId="0" applyAlignment="1" applyFont="1"/>
  </cellStyleXfs>
  <cellXfs count="90">
    <xf borderId="0" fillId="0" fontId="0" numFmtId="0" xfId="0" applyAlignment="1" applyFont="1">
      <alignment readingOrder="0" shrinkToFit="0" vertical="bottom" wrapText="0"/>
    </xf>
    <xf borderId="1" fillId="2" fontId="1" numFmtId="0" xfId="0" applyAlignment="1" applyBorder="1" applyFill="1" applyFont="1">
      <alignment horizontal="center" shrinkToFit="0" vertical="center" wrapText="1"/>
    </xf>
    <xf borderId="1" fillId="0" fontId="2" numFmtId="0" xfId="0" applyBorder="1" applyFont="1"/>
    <xf borderId="1" fillId="0" fontId="3" numFmtId="164" xfId="0" applyBorder="1" applyFont="1" applyNumberFormat="1"/>
    <xf borderId="1" fillId="3" fontId="3" numFmtId="0" xfId="0" applyBorder="1" applyFill="1" applyFont="1"/>
    <xf borderId="1" fillId="4" fontId="3" numFmtId="1" xfId="0" applyAlignment="1" applyBorder="1" applyFill="1" applyFont="1" applyNumberFormat="1">
      <alignment readingOrder="0"/>
    </xf>
    <xf borderId="1" fillId="3" fontId="3" numFmtId="9" xfId="0" applyBorder="1" applyFont="1" applyNumberFormat="1"/>
    <xf borderId="1" fillId="4" fontId="3" numFmtId="3" xfId="0" applyAlignment="1" applyBorder="1" applyFont="1" applyNumberFormat="1">
      <alignment readingOrder="0"/>
    </xf>
    <xf borderId="1" fillId="3" fontId="3" numFmtId="165" xfId="0" applyBorder="1" applyFont="1" applyNumberFormat="1"/>
    <xf borderId="1" fillId="4" fontId="3" numFmtId="0" xfId="0" applyAlignment="1" applyBorder="1" applyFont="1">
      <alignment readingOrder="0"/>
    </xf>
    <xf borderId="1" fillId="4" fontId="3" numFmtId="0" xfId="0" applyBorder="1" applyFont="1"/>
    <xf borderId="1" fillId="4" fontId="3" numFmtId="1" xfId="0" applyBorder="1" applyFont="1" applyNumberFormat="1"/>
    <xf borderId="1" fillId="4" fontId="3" numFmtId="3" xfId="0" applyBorder="1" applyFont="1" applyNumberFormat="1"/>
    <xf borderId="0" fillId="2" fontId="4" numFmtId="0" xfId="0" applyAlignment="1" applyFont="1">
      <alignment horizontal="center" shrinkToFit="0" vertical="center" wrapText="1"/>
    </xf>
    <xf borderId="0" fillId="0" fontId="3" numFmtId="0" xfId="0" applyAlignment="1" applyFont="1">
      <alignment shrinkToFit="0" wrapText="1"/>
    </xf>
    <xf borderId="0" fillId="5" fontId="5" numFmtId="0" xfId="0" applyFill="1" applyFont="1"/>
    <xf borderId="0" fillId="6" fontId="6" numFmtId="0" xfId="0" applyAlignment="1" applyFill="1" applyFont="1">
      <alignment shrinkToFit="0" vertical="center" wrapText="1"/>
    </xf>
    <xf borderId="0" fillId="6" fontId="6" numFmtId="164" xfId="0" applyAlignment="1" applyFont="1" applyNumberFormat="1">
      <alignment shrinkToFit="0" vertical="center" wrapText="1"/>
    </xf>
    <xf borderId="0" fillId="7" fontId="7" numFmtId="0" xfId="0" applyAlignment="1" applyFill="1" applyFont="1">
      <alignment horizontal="center" shrinkToFit="0" wrapText="1"/>
    </xf>
    <xf borderId="0" fillId="8" fontId="1" numFmtId="0" xfId="0" applyAlignment="1" applyFill="1" applyFont="1">
      <alignment horizontal="center" shrinkToFit="0" wrapText="1"/>
    </xf>
    <xf borderId="2" fillId="4" fontId="3" numFmtId="0" xfId="0" applyAlignment="1" applyBorder="1" applyFont="1">
      <alignment shrinkToFit="0" wrapText="1"/>
    </xf>
    <xf borderId="2" fillId="4" fontId="3" numFmtId="166" xfId="0" applyAlignment="1" applyBorder="1" applyFont="1" applyNumberFormat="1">
      <alignment shrinkToFit="0" wrapText="1"/>
    </xf>
    <xf borderId="2" fillId="4" fontId="3" numFmtId="9" xfId="0" applyAlignment="1" applyBorder="1" applyFont="1" applyNumberFormat="1">
      <alignment shrinkToFit="0" wrapText="1"/>
    </xf>
    <xf borderId="2" fillId="4" fontId="3" numFmtId="3" xfId="0" applyAlignment="1" applyBorder="1" applyFont="1" applyNumberFormat="1">
      <alignment shrinkToFit="0" wrapText="1"/>
    </xf>
    <xf borderId="2" fillId="4" fontId="3" numFmtId="165" xfId="0" applyAlignment="1" applyBorder="1" applyFont="1" applyNumberFormat="1">
      <alignment shrinkToFit="0" wrapText="1"/>
    </xf>
    <xf borderId="0" fillId="7" fontId="1" numFmtId="0" xfId="0" applyAlignment="1" applyFont="1">
      <alignment horizontal="center" shrinkToFit="0" wrapText="1"/>
    </xf>
    <xf borderId="2" fillId="8" fontId="1" numFmtId="0" xfId="0" applyAlignment="1" applyBorder="1" applyFont="1">
      <alignment shrinkToFit="0" wrapText="1"/>
    </xf>
    <xf borderId="0" fillId="0" fontId="3" numFmtId="3" xfId="0" applyAlignment="1" applyFont="1" applyNumberFormat="1">
      <alignment shrinkToFit="0" wrapText="1"/>
    </xf>
    <xf borderId="0" fillId="0" fontId="3" numFmtId="166" xfId="0" applyAlignment="1" applyFont="1" applyNumberFormat="1">
      <alignment shrinkToFit="0" wrapText="1"/>
    </xf>
    <xf borderId="0" fillId="0" fontId="3" numFmtId="9" xfId="0" applyAlignment="1" applyFont="1" applyNumberFormat="1">
      <alignment shrinkToFit="0" wrapText="1"/>
    </xf>
    <xf borderId="0" fillId="9" fontId="8" numFmtId="0" xfId="0" applyAlignment="1" applyFill="1" applyFont="1">
      <alignment horizontal="center" shrinkToFit="0" vertical="center" wrapText="1"/>
    </xf>
    <xf borderId="0" fillId="4" fontId="9" numFmtId="0" xfId="0" applyFont="1"/>
    <xf borderId="0" fillId="0" fontId="3" numFmtId="0" xfId="0" applyAlignment="1" applyFont="1">
      <alignment shrinkToFit="0" vertical="center" wrapText="1"/>
    </xf>
    <xf borderId="0" fillId="4" fontId="9" numFmtId="9" xfId="0" applyFont="1" applyNumberFormat="1"/>
    <xf borderId="0" fillId="10" fontId="10" numFmtId="0" xfId="0" applyAlignment="1" applyFill="1" applyFont="1">
      <alignment shrinkToFit="0" vertical="center" wrapText="1"/>
    </xf>
    <xf borderId="0" fillId="4" fontId="10" numFmtId="0" xfId="0" applyAlignment="1" applyFont="1">
      <alignment horizontal="center" shrinkToFit="0" vertical="center" wrapText="1"/>
    </xf>
    <xf borderId="0" fillId="11" fontId="10" numFmtId="0" xfId="0" applyAlignment="1" applyFill="1" applyFont="1">
      <alignment horizontal="center" shrinkToFit="0" vertical="center" wrapText="1"/>
    </xf>
    <xf borderId="0" fillId="12" fontId="1" numFmtId="0" xfId="0" applyAlignment="1" applyFill="1" applyFont="1">
      <alignment horizontal="center" shrinkToFit="0" vertical="center" wrapText="1"/>
    </xf>
    <xf borderId="0" fillId="11" fontId="11" numFmtId="9" xfId="0" applyAlignment="1" applyFont="1" applyNumberFormat="1">
      <alignment horizontal="center" shrinkToFit="0" vertical="center" wrapText="1"/>
    </xf>
    <xf borderId="0" fillId="11" fontId="11" numFmtId="3" xfId="0" applyAlignment="1" applyFont="1" applyNumberFormat="1">
      <alignment horizontal="center" shrinkToFit="0" vertical="center" wrapText="1"/>
    </xf>
    <xf borderId="0" fillId="11" fontId="11" numFmtId="165" xfId="0" applyAlignment="1" applyFont="1" applyNumberFormat="1">
      <alignment horizontal="center" shrinkToFit="0" vertical="center" wrapText="1"/>
    </xf>
    <xf borderId="0" fillId="10" fontId="12" numFmtId="0" xfId="0" applyAlignment="1" applyFont="1">
      <alignment horizontal="center" shrinkToFit="0" vertical="center" wrapText="1"/>
    </xf>
    <xf borderId="0" fillId="4" fontId="9" numFmtId="3" xfId="0" applyFont="1" applyNumberFormat="1"/>
    <xf borderId="0" fillId="4" fontId="9" numFmtId="165" xfId="0" applyFont="1" applyNumberFormat="1"/>
    <xf borderId="0" fillId="13" fontId="1" numFmtId="0" xfId="0" applyAlignment="1" applyFill="1" applyFont="1">
      <alignment horizontal="center" shrinkToFit="0" vertical="center" wrapText="1"/>
    </xf>
    <xf borderId="0" fillId="14" fontId="10" numFmtId="0" xfId="0" applyAlignment="1" applyFill="1" applyFont="1">
      <alignment horizontal="center" shrinkToFit="0" vertical="center" wrapText="1"/>
    </xf>
    <xf borderId="0" fillId="11" fontId="13" numFmtId="0" xfId="0" applyAlignment="1" applyFont="1">
      <alignment horizontal="center" shrinkToFit="0" vertical="center" wrapText="1"/>
    </xf>
    <xf borderId="0" fillId="4" fontId="13" numFmtId="0" xfId="0" applyAlignment="1" applyFont="1">
      <alignment shrinkToFit="0" vertical="center" wrapText="1"/>
    </xf>
    <xf borderId="0" fillId="11" fontId="13" numFmtId="9" xfId="0" applyAlignment="1" applyFont="1" applyNumberFormat="1">
      <alignment horizontal="center" shrinkToFit="0" vertical="center" wrapText="1"/>
    </xf>
    <xf borderId="0" fillId="14" fontId="6" numFmtId="0" xfId="0" applyAlignment="1" applyFont="1">
      <alignment shrinkToFit="0" vertical="center" wrapText="1"/>
    </xf>
    <xf borderId="0" fillId="11" fontId="3" numFmtId="0" xfId="0" applyAlignment="1" applyFont="1">
      <alignment horizontal="center" shrinkToFit="0" vertical="center" wrapText="1"/>
    </xf>
    <xf borderId="0" fillId="11" fontId="3" numFmtId="1" xfId="0" applyAlignment="1" applyFont="1" applyNumberFormat="1">
      <alignment horizontal="center" shrinkToFit="0" vertical="center" wrapText="1"/>
    </xf>
    <xf borderId="0" fillId="11" fontId="3" numFmtId="9" xfId="0" applyAlignment="1" applyFont="1" applyNumberFormat="1">
      <alignment horizontal="center" shrinkToFit="0" vertical="center" wrapText="1"/>
    </xf>
    <xf borderId="0" fillId="11" fontId="3" numFmtId="3" xfId="0" applyAlignment="1" applyFont="1" applyNumberFormat="1">
      <alignment horizontal="center" shrinkToFit="0" vertical="center" wrapText="1"/>
    </xf>
    <xf borderId="0" fillId="7" fontId="1" numFmtId="0" xfId="0" applyAlignment="1" applyFont="1">
      <alignment horizontal="center" shrinkToFit="0" vertical="center" wrapText="1"/>
    </xf>
    <xf borderId="0" fillId="15" fontId="4" numFmtId="0" xfId="0" applyAlignment="1" applyFill="1" applyFont="1">
      <alignment horizontal="center" vertical="center"/>
    </xf>
    <xf borderId="0" fillId="16" fontId="14" numFmtId="0" xfId="0" applyAlignment="1" applyFill="1" applyFont="1">
      <alignment horizontal="left"/>
    </xf>
    <xf borderId="0" fillId="4" fontId="14" numFmtId="167" xfId="0" applyAlignment="1" applyFont="1" applyNumberFormat="1">
      <alignment horizontal="center"/>
    </xf>
    <xf borderId="0" fillId="17" fontId="15" numFmtId="0" xfId="0" applyAlignment="1" applyFill="1" applyFont="1">
      <alignment horizontal="center"/>
    </xf>
    <xf borderId="0" fillId="18" fontId="16" numFmtId="0" xfId="0" applyAlignment="1" applyFill="1" applyFont="1">
      <alignment shrinkToFit="0" wrapText="1"/>
    </xf>
    <xf borderId="0" fillId="19" fontId="1" numFmtId="0" xfId="0" applyAlignment="1" applyFill="1" applyFont="1">
      <alignment horizontal="center"/>
    </xf>
    <xf borderId="0" fillId="3" fontId="17" numFmtId="1" xfId="0" applyAlignment="1" applyFont="1" applyNumberFormat="1">
      <alignment horizontal="center" vertical="center"/>
    </xf>
    <xf borderId="0" fillId="3" fontId="17" numFmtId="9" xfId="0" applyAlignment="1" applyFont="1" applyNumberFormat="1">
      <alignment horizontal="center" vertical="center"/>
    </xf>
    <xf borderId="0" fillId="3" fontId="17" numFmtId="0" xfId="0" applyAlignment="1" applyFont="1">
      <alignment horizontal="center" vertical="center"/>
    </xf>
    <xf borderId="2" fillId="15" fontId="1" numFmtId="0" xfId="0" applyAlignment="1" applyBorder="1" applyFont="1">
      <alignment horizontal="center" shrinkToFit="0" wrapText="1"/>
    </xf>
    <xf borderId="0" fillId="0" fontId="9" numFmtId="0" xfId="0" applyFont="1"/>
    <xf borderId="0" fillId="0" fontId="3" numFmtId="167" xfId="0" applyAlignment="1" applyFont="1" applyNumberFormat="1">
      <alignment horizontal="center" vertical="center"/>
    </xf>
    <xf borderId="0" fillId="0" fontId="3" numFmtId="1" xfId="0" applyAlignment="1" applyFont="1" applyNumberFormat="1">
      <alignment horizontal="center" vertical="center"/>
    </xf>
    <xf borderId="0" fillId="0" fontId="3" numFmtId="9" xfId="0" applyAlignment="1" applyFont="1" applyNumberFormat="1">
      <alignment horizontal="center" vertical="center"/>
    </xf>
    <xf borderId="0" fillId="0" fontId="3" numFmtId="0" xfId="0" applyAlignment="1" applyFont="1">
      <alignment horizontal="center" vertical="center"/>
    </xf>
    <xf borderId="0" fillId="0" fontId="9" numFmtId="1" xfId="0" applyFont="1" applyNumberFormat="1"/>
    <xf borderId="0" fillId="15" fontId="1" numFmtId="0" xfId="0" applyAlignment="1" applyFont="1">
      <alignment horizontal="center"/>
    </xf>
    <xf borderId="0" fillId="3" fontId="16" numFmtId="0" xfId="0" applyAlignment="1" applyFont="1">
      <alignment shrinkToFit="0" wrapText="1"/>
    </xf>
    <xf borderId="0" fillId="15" fontId="1" numFmtId="0" xfId="0" applyAlignment="1" applyFont="1">
      <alignment horizontal="center" shrinkToFit="0" vertical="center" wrapText="1"/>
    </xf>
    <xf borderId="0" fillId="3" fontId="3" numFmtId="0" xfId="0" applyFont="1"/>
    <xf borderId="0" fillId="3" fontId="3" numFmtId="9" xfId="0" applyFont="1" applyNumberFormat="1"/>
    <xf borderId="0" fillId="3" fontId="3" numFmtId="165" xfId="0" applyFont="1" applyNumberFormat="1"/>
    <xf borderId="0" fillId="3" fontId="3" numFmtId="168" xfId="0" applyFont="1" applyNumberFormat="1"/>
    <xf borderId="0" fillId="19" fontId="1" numFmtId="0" xfId="0" applyAlignment="1" applyFont="1">
      <alignment horizontal="center" shrinkToFit="0" vertical="center" wrapText="1"/>
    </xf>
    <xf borderId="0" fillId="20" fontId="3" numFmtId="0" xfId="0" applyFill="1" applyFont="1"/>
    <xf borderId="0" fillId="20" fontId="3" numFmtId="9" xfId="0" applyFont="1" applyNumberFormat="1"/>
    <xf borderId="0" fillId="15" fontId="1" numFmtId="0" xfId="0" applyAlignment="1" applyFont="1">
      <alignment horizontal="center" vertical="center"/>
    </xf>
    <xf borderId="0" fillId="4" fontId="13" numFmtId="0" xfId="0" applyAlignment="1" applyFont="1">
      <alignment shrinkToFit="0" wrapText="1"/>
    </xf>
    <xf borderId="0" fillId="4" fontId="13" numFmtId="9" xfId="0" applyAlignment="1" applyFont="1" applyNumberFormat="1">
      <alignment shrinkToFit="0" wrapText="1"/>
    </xf>
    <xf borderId="0" fillId="4" fontId="13" numFmtId="3" xfId="0" applyAlignment="1" applyFont="1" applyNumberFormat="1">
      <alignment shrinkToFit="0" wrapText="1"/>
    </xf>
    <xf borderId="0" fillId="4" fontId="13" numFmtId="165" xfId="0" applyAlignment="1" applyFont="1" applyNumberFormat="1">
      <alignment shrinkToFit="0" wrapText="1"/>
    </xf>
    <xf borderId="0" fillId="4" fontId="13" numFmtId="168" xfId="0" applyAlignment="1" applyFont="1" applyNumberFormat="1">
      <alignment shrinkToFit="0" wrapText="1"/>
    </xf>
    <xf borderId="0" fillId="18" fontId="18" numFmtId="0" xfId="0" applyAlignment="1" applyFont="1">
      <alignment shrinkToFit="0" wrapText="1"/>
    </xf>
    <xf borderId="0" fillId="0" fontId="2" numFmtId="0" xfId="0" applyFont="1"/>
    <xf borderId="0" fillId="0" fontId="3" numFmtId="164" xfId="0" applyFont="1" applyNumberFormat="1"/>
  </cellXfs>
  <cellStyles count="1">
    <cellStyle xfId="0" name="Normal" builtinId="0"/>
  </cellStyles>
  <dxfs count="8">
    <dxf>
      <font/>
      <fill>
        <patternFill patternType="solid">
          <fgColor rgb="FFFEE2E2"/>
          <bgColor rgb="FFFEE2E2"/>
        </patternFill>
      </fill>
      <border/>
    </dxf>
    <dxf>
      <font/>
      <fill>
        <patternFill patternType="solid">
          <fgColor rgb="FFDCFCE7"/>
          <bgColor rgb="FFDCFCE7"/>
        </patternFill>
      </fill>
      <border/>
    </dxf>
    <dxf>
      <font>
        <b/>
        <color rgb="FF990000"/>
      </font>
      <fill>
        <patternFill patternType="solid">
          <fgColor rgb="FFFCE8E6"/>
          <bgColor rgb="FFFCE8E6"/>
        </patternFill>
      </fill>
      <border/>
    </dxf>
    <dxf>
      <font>
        <b/>
        <color rgb="FF006100"/>
      </font>
      <fill>
        <patternFill patternType="solid">
          <fgColor rgb="FFD9EAD3"/>
          <bgColor rgb="FFD9EAD3"/>
        </patternFill>
      </fill>
      <border/>
    </dxf>
    <dxf>
      <font>
        <color rgb="FF990000"/>
      </font>
      <fill>
        <patternFill patternType="solid">
          <fgColor rgb="FFFCE8E6"/>
          <bgColor rgb="FFFCE8E6"/>
        </patternFill>
      </fill>
      <border/>
    </dxf>
    <dxf>
      <font>
        <color rgb="FF006100"/>
      </font>
      <fill>
        <patternFill patternType="solid">
          <fgColor rgb="FFD9EAD3"/>
          <bgColor rgb="FFD9EAD3"/>
        </patternFill>
      </fill>
      <border/>
    </dxf>
    <dxf>
      <font/>
      <fill>
        <patternFill patternType="solid">
          <fgColor rgb="FFFCE8E6"/>
          <bgColor rgb="FFFCE8E6"/>
        </patternFill>
      </fill>
      <border/>
    </dxf>
    <dxf>
      <font/>
      <fill>
        <patternFill patternType="solid">
          <fgColor rgb="FFD9EAD3"/>
          <bgColor rgb="FFD9EAD3"/>
        </patternFill>
      </fill>
      <border/>
    </dxf>
  </dxfs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11" Type="http://customschemas.google.com/relationships/workbookmetadata" Target="metadata"/><Relationship Id="rId10" Type="http://schemas.openxmlformats.org/officeDocument/2006/relationships/worksheet" Target="worksheets/sheet7.xml"/><Relationship Id="rId9" Type="http://schemas.openxmlformats.org/officeDocument/2006/relationships/worksheet" Target="worksheets/sheet6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/Relationships>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barChart>
        <c:barDir val="bar"/>
        <c:ser>
          <c:idx val="0"/>
          <c:order val="0"/>
          <c:tx>
            <c:v>Valor</c:v>
          </c:tx>
          <c:spPr>
            <a:solidFill>
              <a:srgbClr val="4285F4"/>
            </a:solidFill>
            <a:ln cmpd="sng">
              <a:solidFill>
                <a:srgbClr val="000000"/>
              </a:solidFill>
            </a:ln>
          </c:spPr>
          <c:cat>
            <c:strRef>
              <c:f>'Dashboard semanal'!$Q$2:$Q$8</c:f>
            </c:strRef>
          </c:cat>
          <c:val>
            <c:numRef>
              <c:f>'Dashboard semanal'!$R$2:$R$8</c:f>
              <c:numCache/>
            </c:numRef>
          </c:val>
        </c:ser>
        <c:axId val="770338598"/>
        <c:axId val="437742342"/>
      </c:barChart>
      <c:catAx>
        <c:axId val="770338598"/>
        <c:scaling>
          <c:orientation val="maxMin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" sourceLinked="0"/>
        <c:majorTickMark val="none"/>
        <c:minorTickMark val="none"/>
        <c:spPr/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437742342"/>
      </c:catAx>
      <c:valAx>
        <c:axId val="437742342"/>
        <c:scaling>
          <c:orientation val="minMax"/>
        </c:scaling>
        <c:delete val="0"/>
        <c:axPos val="b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" sourceLinked="0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770338598"/>
        <c:crosses val="max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2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lineChart>
        <c:varyColors val="0"/>
        <c:ser>
          <c:idx val="0"/>
          <c:order val="0"/>
          <c:tx>
            <c:v>UF Vendidas</c:v>
          </c:tx>
          <c:spPr>
            <a:ln cmpd="sng">
              <a:solidFill>
                <a:srgbClr val="4285F4"/>
              </a:solidFill>
            </a:ln>
          </c:spPr>
          <c:marker>
            <c:symbol val="none"/>
          </c:marker>
          <c:cat>
            <c:strRef>
              <c:f>'Dashboard semanal'!$Q$11:$Q$62</c:f>
            </c:strRef>
          </c:cat>
          <c:val>
            <c:numRef>
              <c:f>'Dashboard semanal'!$R$11:$R$62</c:f>
              <c:numCache/>
            </c:numRef>
          </c:val>
          <c:smooth val="0"/>
        </c:ser>
        <c:axId val="1849509932"/>
        <c:axId val="17564107"/>
      </c:lineChart>
      <c:catAx>
        <c:axId val="18495099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" sourceLinked="0"/>
        <c:majorTickMark val="none"/>
        <c:minorTickMark val="none"/>
        <c:spPr/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7564107"/>
      </c:catAx>
      <c:valAx>
        <c:axId val="17564107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" sourceLinked="0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849509932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3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title>
      <c:tx>
        <c:rich>
          <a:bodyPr/>
          <a:lstStyle/>
          <a:p>
            <a:pPr lvl="0">
              <a:defRPr b="0" i="0">
                <a:solidFill>
                  <a:srgbClr val="757575"/>
                </a:solidFill>
                <a:latin typeface="+mn-lt"/>
              </a:defRPr>
            </a:pPr>
            <a:r>
              <a:rPr b="0" i="0">
                <a:solidFill>
                  <a:srgbClr val="757575"/>
                </a:solidFill>
                <a:latin typeface="+mn-lt"/>
              </a:rPr>
              <a:t>Reservas por semana</a:t>
            </a:r>
          </a:p>
        </c:rich>
      </c:tx>
      <c:overlay val="0"/>
    </c:title>
    <c:plotArea>
      <c:layout/>
      <c:scatterChart>
        <c:scatterStyle val="lineMarker"/>
        <c:varyColors val="0"/>
        <c:ser>
          <c:idx val="0"/>
          <c:order val="0"/>
          <c:tx>
            <c:v>Reservas</c:v>
          </c:tx>
          <c:spPr>
            <a:ln>
              <a:noFill/>
            </a:ln>
          </c:spPr>
          <c:marker>
            <c:symbol val="circle"/>
            <c:size val="7"/>
            <c:spPr>
              <a:solidFill>
                <a:srgbClr val="4285F4"/>
              </a:solidFill>
              <a:ln cmpd="sng">
                <a:solidFill>
                  <a:srgbClr val="4285F4"/>
                </a:solidFill>
              </a:ln>
            </c:spPr>
          </c:marker>
          <c:yVal>
            <c:numRef>
              <c:f>'Dashboard semanal'!$V$2:$V$53</c:f>
              <c:numCache/>
            </c:numRef>
          </c:y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8642391"/>
        <c:axId val="1247879976"/>
      </c:scatterChart>
      <c:valAx>
        <c:axId val="1678642391"/>
        <c:scaling>
          <c:orientation val="minMax"/>
        </c:scaling>
        <c:delete val="0"/>
        <c:axPos val="b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" sourceLinked="0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247879976"/>
      </c:valAx>
      <c:valAx>
        <c:axId val="1247879976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" sourceLinked="0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1" i="0" sz="600">
                <a:solidFill>
                  <a:srgbClr val="000000"/>
                </a:solidFill>
                <a:latin typeface="+mn-lt"/>
              </a:defRPr>
            </a:pPr>
          </a:p>
        </c:txPr>
        <c:crossAx val="1678642391"/>
      </c:valAx>
    </c:plotArea>
    <c:plotVisOnly val="1"/>
  </c:chart>
</c:chartSpace>
</file>

<file path=xl/charts/chart4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barChart>
        <c:barDir val="col"/>
        <c:ser>
          <c:idx val="0"/>
          <c:order val="0"/>
          <c:tx>
            <c:v>Reservas</c:v>
          </c:tx>
          <c:spPr>
            <a:solidFill>
              <a:srgbClr val="4285F4"/>
            </a:solidFill>
            <a:ln cmpd="sng">
              <a:solidFill>
                <a:srgbClr val="000000"/>
              </a:solidFill>
            </a:ln>
          </c:spPr>
          <c:cat>
            <c:strRef>
              <c:f>'Estado Mensual'!$Q$9:$Q$21</c:f>
            </c:strRef>
          </c:cat>
          <c:val>
            <c:numRef>
              <c:f>'Estado Mensual'!$R$9:$R$21</c:f>
              <c:numCache/>
            </c:numRef>
          </c:val>
        </c:ser>
        <c:ser>
          <c:idx val="1"/>
          <c:order val="1"/>
          <c:tx>
            <c:v>Promesas</c:v>
          </c:tx>
          <c:spPr>
            <a:solidFill>
              <a:srgbClr val="EA4335"/>
            </a:solidFill>
            <a:ln cmpd="sng">
              <a:solidFill>
                <a:srgbClr val="000000"/>
              </a:solidFill>
            </a:ln>
          </c:spPr>
          <c:cat>
            <c:strRef>
              <c:f>'Estado Mensual'!$Q$9:$Q$21</c:f>
            </c:strRef>
          </c:cat>
          <c:val>
            <c:numRef>
              <c:f>'Estado Mensual'!$S$9:$S$21</c:f>
              <c:numCache/>
            </c:numRef>
          </c:val>
        </c:ser>
        <c:axId val="318609189"/>
        <c:axId val="86489317"/>
      </c:barChart>
      <c:catAx>
        <c:axId val="31860918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" sourceLinked="0"/>
        <c:majorTickMark val="none"/>
        <c:minorTickMark val="none"/>
        <c:spPr/>
        <c:txPr>
          <a:bodyPr/>
          <a:lstStyle/>
          <a:p>
            <a:pPr lvl="0">
              <a:defRPr b="1" i="0" sz="600">
                <a:solidFill>
                  <a:srgbClr val="000000"/>
                </a:solidFill>
                <a:latin typeface="+mn-lt"/>
              </a:defRPr>
            </a:pPr>
          </a:p>
        </c:txPr>
        <c:crossAx val="86489317"/>
      </c:catAx>
      <c:valAx>
        <c:axId val="86489317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0" sourceLinked="0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318609189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drawings/_rels/drawing3.xml.rels><?xml version="1.0" encoding="UTF-8" standalone="yes"?>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<Relationship Id="rId3" Type="http://schemas.openxmlformats.org/officeDocument/2006/relationships/chart" Target="../charts/chart3.xml"/></Relationships>
</file>

<file path=xl/drawings/_rels/drawing4.xml.rels><?xml version="1.0" encoding="UTF-8" standalone="yes"?>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0</xdr:col>
      <xdr:colOff>209550</xdr:colOff>
      <xdr:row>48</xdr:row>
      <xdr:rowOff>9525</xdr:rowOff>
    </xdr:from>
    <xdr:ext cx="6191250" cy="2857500"/>
    <xdr:graphicFrame>
      <xdr:nvGraphicFramePr>
        <xdr:cNvPr id="1426791455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  <xdr:oneCellAnchor>
    <xdr:from>
      <xdr:col>0</xdr:col>
      <xdr:colOff>0</xdr:colOff>
      <xdr:row>26</xdr:row>
      <xdr:rowOff>0</xdr:rowOff>
    </xdr:from>
    <xdr:ext cx="5943600" cy="3543300"/>
    <xdr:graphicFrame>
      <xdr:nvGraphicFramePr>
        <xdr:cNvPr id="1493700290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2"/>
        </a:graphicData>
      </a:graphic>
    </xdr:graphicFrame>
    <xdr:clientData fLocksWithSheet="0"/>
  </xdr:oneCellAnchor>
  <xdr:oneCellAnchor>
    <xdr:from>
      <xdr:col>9</xdr:col>
      <xdr:colOff>0</xdr:colOff>
      <xdr:row>41</xdr:row>
      <xdr:rowOff>0</xdr:rowOff>
    </xdr:from>
    <xdr:ext cx="5905500" cy="2857500"/>
    <xdr:graphicFrame>
      <xdr:nvGraphicFramePr>
        <xdr:cNvPr id="383191751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3"/>
        </a:graphicData>
      </a:graphic>
    </xdr:graphicFrame>
    <xdr:clientData fLocksWithSheet="0"/>
  </xdr:oneCellAnchor>
</xdr:wsDr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6</xdr:col>
      <xdr:colOff>0</xdr:colOff>
      <xdr:row>8</xdr:row>
      <xdr:rowOff>0</xdr:rowOff>
    </xdr:from>
    <xdr:ext cx="7019925" cy="3733800"/>
    <xdr:graphicFrame>
      <xdr:nvGraphicFramePr>
        <xdr:cNvPr id="2013916433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</xdr:wsDr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>
      <pane ySplit="1.0" topLeftCell="A2" activePane="bottomLeft" state="frozen"/>
      <selection activeCell="B3" sqref="B3" pane="bottomLeft"/>
    </sheetView>
  </sheetViews>
  <sheetFormatPr customHeight="1" defaultColWidth="12.63" defaultRowHeight="15.0"/>
  <cols>
    <col customWidth="1" min="1" max="3" width="12.0"/>
    <col customWidth="1" min="4" max="4" width="19.38"/>
    <col customWidth="1" min="5" max="5" width="16.75"/>
    <col customWidth="1" min="6" max="6" width="15.75"/>
    <col customWidth="1" min="7" max="7" width="13.75"/>
    <col customWidth="1" min="8" max="8" width="14.75"/>
    <col customWidth="1" min="9" max="9" width="18.38"/>
    <col customWidth="1" min="10" max="10" width="17.38"/>
    <col customWidth="1" min="11" max="11" width="10.88"/>
    <col customWidth="1" min="12" max="12" width="7.13"/>
    <col customWidth="1" min="13" max="13" width="12.88"/>
    <col customWidth="1" min="14" max="14" width="23.0"/>
    <col customWidth="1" min="15" max="15" width="11.25"/>
    <col customWidth="1" min="16" max="16" width="10.13"/>
    <col customWidth="1" min="17" max="17" width="19.0"/>
    <col customWidth="1" min="18" max="20" width="28.0"/>
    <col customWidth="1" min="21" max="26" width="14.38"/>
  </cols>
  <sheetData>
    <row r="1" ht="37.5" customHeight="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2"/>
      <c r="V1" s="2"/>
      <c r="W1" s="2"/>
      <c r="X1" s="2"/>
      <c r="Y1" s="2"/>
      <c r="Z1" s="2"/>
    </row>
    <row r="2">
      <c r="A2" s="3">
        <v>46167.0</v>
      </c>
      <c r="B2" s="4" t="str">
        <f t="shared" ref="B2:B366" si="1">IF(A2="","", "Sem "&amp;MIN(52,INT((A2-$A$2)/7)+1))</f>
        <v>Sem 1</v>
      </c>
      <c r="C2" s="4" t="str">
        <f t="shared" ref="C2:C366" si="2">IF(A2="","",CHOOSE(WEEKDAY(A2,2),"Lunes","Martes","Miércoles","Jueves","Viernes","Sábado","Domingo"))</f>
        <v>Lunes</v>
      </c>
      <c r="D2" s="5"/>
      <c r="E2" s="5"/>
      <c r="F2" s="5"/>
      <c r="G2" s="6" t="str">
        <f t="shared" ref="G2:G366" si="3">IF(OR(E2="",F2=""),"",IFERROR(F2/E2,0))</f>
        <v/>
      </c>
      <c r="H2" s="5"/>
      <c r="I2" s="6" t="str">
        <f t="shared" ref="I2:I366" si="4">IF(OR(F2="",H2=""),"",IFERROR(H2/F2,0))</f>
        <v/>
      </c>
      <c r="J2" s="5"/>
      <c r="K2" s="6" t="str">
        <f t="shared" ref="K2:K366" si="5">IF(OR(H2="",J2=""),"",IFERROR(J2/H2,0))</f>
        <v/>
      </c>
      <c r="L2" s="5"/>
      <c r="M2" s="6" t="str">
        <f t="shared" ref="M2:M366" si="6">IF(OR(J2="",L2=""),"",IFERROR(L2/J2,0))</f>
        <v/>
      </c>
      <c r="N2" s="5"/>
      <c r="O2" s="6" t="str">
        <f t="shared" ref="O2:O366" si="7">IF(OR(L2="",N2=""),"",IFERROR(N2/L2,0))</f>
        <v/>
      </c>
      <c r="P2" s="7"/>
      <c r="Q2" s="8" t="str">
        <f>IF(P2="","",P2*'Config  Metas'!$B$10)</f>
        <v/>
      </c>
      <c r="R2" s="4" t="str">
        <f>IF(COUNTA(D2,E2,F2,H2,J2,L2,N2,P2)=0,"",IF(AND(D2&gt;0,E2/D2&lt;'Config  Metas'!$B$8),"🚨 COBERTURA DE LLAMADOS BAJA",IF(G2&lt;'Config  Metas'!$B$2,"🚨 CONTACTO BAJO",IF(I2&lt;'Config  Metas'!$B$3,"🚨 AGENDAMIENTO BAJO",IF(K2&lt;'Config  Metas'!$B$4,"⚠️ SHOW BAJO",IF(M2&lt;'Config  Metas'!$B$5,"🚨 RESERVA BAJA",IF(O2&lt;'Config  Metas'!$B$6,"🚨 CIERRE BAJO",IF(P2&lt;D2*'Config  Metas'!$B$15*'Config  Metas'!$B$9,"🔻 UF BAJO RITMO DINÁMICO","✅ DÍA SOBRE RITMO"))))))))</f>
        <v/>
      </c>
      <c r="S2" s="9"/>
      <c r="T2" s="10"/>
      <c r="U2" s="2"/>
      <c r="V2" s="2"/>
      <c r="W2" s="2"/>
      <c r="X2" s="2"/>
      <c r="Y2" s="2"/>
      <c r="Z2" s="2"/>
    </row>
    <row r="3">
      <c r="A3" s="3">
        <v>46168.0</v>
      </c>
      <c r="B3" s="4" t="str">
        <f t="shared" si="1"/>
        <v>Sem 1</v>
      </c>
      <c r="C3" s="4" t="str">
        <f t="shared" si="2"/>
        <v>Martes</v>
      </c>
      <c r="D3" s="11"/>
      <c r="E3" s="11"/>
      <c r="F3" s="11"/>
      <c r="G3" s="6" t="str">
        <f t="shared" si="3"/>
        <v/>
      </c>
      <c r="H3" s="11"/>
      <c r="I3" s="6" t="str">
        <f t="shared" si="4"/>
        <v/>
      </c>
      <c r="J3" s="11"/>
      <c r="K3" s="6" t="str">
        <f t="shared" si="5"/>
        <v/>
      </c>
      <c r="L3" s="11"/>
      <c r="M3" s="6" t="str">
        <f t="shared" si="6"/>
        <v/>
      </c>
      <c r="N3" s="11"/>
      <c r="O3" s="6" t="str">
        <f t="shared" si="7"/>
        <v/>
      </c>
      <c r="P3" s="12"/>
      <c r="Q3" s="8" t="str">
        <f>IF(P3="","",P3*'Config  Metas'!$B$10)</f>
        <v/>
      </c>
      <c r="R3" s="4" t="str">
        <f>IF(COUNTA(D3,E3,F3,H3,J3,L3,N3,P3)=0,"",IF(AND(D3&gt;0,E3/D3&lt;'Config  Metas'!$B$8),"🚨 COBERTURA DE LLAMADOS BAJA",IF(G3&lt;'Config  Metas'!$B$2,"🚨 CONTACTO BAJO",IF(I3&lt;'Config  Metas'!$B$3,"🚨 AGENDAMIENTO BAJO",IF(K3&lt;'Config  Metas'!$B$4,"⚠️ SHOW BAJO",IF(M3&lt;'Config  Metas'!$B$5,"🚨 RESERVA BAJA",IF(O3&lt;'Config  Metas'!$B$6,"🚨 CIERRE BAJO",IF(P3&lt;D3*'Config  Metas'!$B$15*'Config  Metas'!$B$9,"🔻 UF BAJO RITMO DINÁMICO","✅ DÍA SOBRE RITMO"))))))))</f>
        <v/>
      </c>
      <c r="S3" s="10"/>
      <c r="T3" s="10"/>
      <c r="U3" s="2"/>
      <c r="V3" s="2"/>
      <c r="W3" s="2"/>
      <c r="X3" s="2"/>
      <c r="Y3" s="2"/>
      <c r="Z3" s="2"/>
    </row>
    <row r="4">
      <c r="A4" s="3">
        <v>46169.0</v>
      </c>
      <c r="B4" s="4" t="str">
        <f t="shared" si="1"/>
        <v>Sem 1</v>
      </c>
      <c r="C4" s="4" t="str">
        <f t="shared" si="2"/>
        <v>Miércoles</v>
      </c>
      <c r="D4" s="11"/>
      <c r="E4" s="11"/>
      <c r="F4" s="11"/>
      <c r="G4" s="6" t="str">
        <f t="shared" si="3"/>
        <v/>
      </c>
      <c r="H4" s="11"/>
      <c r="I4" s="6" t="str">
        <f t="shared" si="4"/>
        <v/>
      </c>
      <c r="J4" s="11"/>
      <c r="K4" s="6" t="str">
        <f t="shared" si="5"/>
        <v/>
      </c>
      <c r="L4" s="11"/>
      <c r="M4" s="6" t="str">
        <f t="shared" si="6"/>
        <v/>
      </c>
      <c r="N4" s="11"/>
      <c r="O4" s="6" t="str">
        <f t="shared" si="7"/>
        <v/>
      </c>
      <c r="P4" s="12"/>
      <c r="Q4" s="8" t="str">
        <f>IF(P4="","",P4*'Config  Metas'!$B$10)</f>
        <v/>
      </c>
      <c r="R4" s="4" t="str">
        <f>IF(COUNTA(D4,E4,F4,H4,J4,L4,N4,P4)=0,"",IF(AND(D4&gt;0,E4/D4&lt;'Config  Metas'!$B$8),"🚨 COBERTURA DE LLAMADOS BAJA",IF(G4&lt;'Config  Metas'!$B$2,"🚨 CONTACTO BAJO",IF(I4&lt;'Config  Metas'!$B$3,"🚨 AGENDAMIENTO BAJO",IF(K4&lt;'Config  Metas'!$B$4,"⚠️ SHOW BAJO",IF(M4&lt;'Config  Metas'!$B$5,"🚨 RESERVA BAJA",IF(O4&lt;'Config  Metas'!$B$6,"🚨 CIERRE BAJO",IF(P4&lt;D4*'Config  Metas'!$B$15*'Config  Metas'!$B$9,"🔻 UF BAJO RITMO DINÁMICO","✅ DÍA SOBRE RITMO"))))))))</f>
        <v/>
      </c>
      <c r="S4" s="10"/>
      <c r="T4" s="10"/>
      <c r="U4" s="2"/>
      <c r="V4" s="2"/>
      <c r="W4" s="2"/>
      <c r="X4" s="2"/>
      <c r="Y4" s="2"/>
      <c r="Z4" s="2"/>
    </row>
    <row r="5">
      <c r="A5" s="3">
        <v>46170.0</v>
      </c>
      <c r="B5" s="4" t="str">
        <f t="shared" si="1"/>
        <v>Sem 1</v>
      </c>
      <c r="C5" s="4" t="str">
        <f t="shared" si="2"/>
        <v>Jueves</v>
      </c>
      <c r="D5" s="11"/>
      <c r="E5" s="11"/>
      <c r="F5" s="11"/>
      <c r="G5" s="6" t="str">
        <f t="shared" si="3"/>
        <v/>
      </c>
      <c r="H5" s="11"/>
      <c r="I5" s="6" t="str">
        <f t="shared" si="4"/>
        <v/>
      </c>
      <c r="J5" s="11"/>
      <c r="K5" s="6" t="str">
        <f t="shared" si="5"/>
        <v/>
      </c>
      <c r="L5" s="11"/>
      <c r="M5" s="6" t="str">
        <f t="shared" si="6"/>
        <v/>
      </c>
      <c r="N5" s="11"/>
      <c r="O5" s="6" t="str">
        <f t="shared" si="7"/>
        <v/>
      </c>
      <c r="P5" s="12"/>
      <c r="Q5" s="8" t="str">
        <f>IF(P5="","",P5*'Config  Metas'!$B$10)</f>
        <v/>
      </c>
      <c r="R5" s="4" t="str">
        <f>IF(COUNTA(D5,E5,F5,H5,J5,L5,N5,P5)=0,"",IF(AND(D5&gt;0,E5/D5&lt;'Config  Metas'!$B$8),"🚨 COBERTURA DE LLAMADOS BAJA",IF(G5&lt;'Config  Metas'!$B$2,"🚨 CONTACTO BAJO",IF(I5&lt;'Config  Metas'!$B$3,"🚨 AGENDAMIENTO BAJO",IF(K5&lt;'Config  Metas'!$B$4,"⚠️ SHOW BAJO",IF(M5&lt;'Config  Metas'!$B$5,"🚨 RESERVA BAJA",IF(O5&lt;'Config  Metas'!$B$6,"🚨 CIERRE BAJO",IF(P5&lt;D5*'Config  Metas'!$B$15*'Config  Metas'!$B$9,"🔻 UF BAJO RITMO DINÁMICO","✅ DÍA SOBRE RITMO"))))))))</f>
        <v/>
      </c>
      <c r="S5" s="10"/>
      <c r="T5" s="10"/>
      <c r="U5" s="2"/>
      <c r="V5" s="2"/>
      <c r="W5" s="2"/>
      <c r="X5" s="2"/>
      <c r="Y5" s="2"/>
      <c r="Z5" s="2"/>
    </row>
    <row r="6">
      <c r="A6" s="3">
        <v>46171.0</v>
      </c>
      <c r="B6" s="4" t="str">
        <f t="shared" si="1"/>
        <v>Sem 1</v>
      </c>
      <c r="C6" s="4" t="str">
        <f t="shared" si="2"/>
        <v>Viernes</v>
      </c>
      <c r="D6" s="11"/>
      <c r="E6" s="11"/>
      <c r="F6" s="11"/>
      <c r="G6" s="6" t="str">
        <f t="shared" si="3"/>
        <v/>
      </c>
      <c r="H6" s="11"/>
      <c r="I6" s="6" t="str">
        <f t="shared" si="4"/>
        <v/>
      </c>
      <c r="J6" s="11"/>
      <c r="K6" s="6" t="str">
        <f t="shared" si="5"/>
        <v/>
      </c>
      <c r="L6" s="11"/>
      <c r="M6" s="6" t="str">
        <f t="shared" si="6"/>
        <v/>
      </c>
      <c r="N6" s="11"/>
      <c r="O6" s="6" t="str">
        <f t="shared" si="7"/>
        <v/>
      </c>
      <c r="P6" s="12"/>
      <c r="Q6" s="8" t="str">
        <f>IF(P6="","",P6*'Config  Metas'!$B$10)</f>
        <v/>
      </c>
      <c r="R6" s="4" t="str">
        <f>IF(COUNTA(D6,E6,F6,H6,J6,L6,N6,P6)=0,"",IF(AND(D6&gt;0,E6/D6&lt;'Config  Metas'!$B$8),"🚨 COBERTURA DE LLAMADOS BAJA",IF(G6&lt;'Config  Metas'!$B$2,"🚨 CONTACTO BAJO",IF(I6&lt;'Config  Metas'!$B$3,"🚨 AGENDAMIENTO BAJO",IF(K6&lt;'Config  Metas'!$B$4,"⚠️ SHOW BAJO",IF(M6&lt;'Config  Metas'!$B$5,"🚨 RESERVA BAJA",IF(O6&lt;'Config  Metas'!$B$6,"🚨 CIERRE BAJO",IF(P6&lt;D6*'Config  Metas'!$B$15*'Config  Metas'!$B$9,"🔻 UF BAJO RITMO DINÁMICO","✅ DÍA SOBRE RITMO"))))))))</f>
        <v/>
      </c>
      <c r="S6" s="10"/>
      <c r="T6" s="10"/>
      <c r="U6" s="2"/>
      <c r="V6" s="2"/>
      <c r="W6" s="2"/>
      <c r="X6" s="2"/>
      <c r="Y6" s="2"/>
      <c r="Z6" s="2"/>
    </row>
    <row r="7">
      <c r="A7" s="3">
        <v>46172.0</v>
      </c>
      <c r="B7" s="4" t="str">
        <f t="shared" si="1"/>
        <v>Sem 1</v>
      </c>
      <c r="C7" s="4" t="str">
        <f t="shared" si="2"/>
        <v>Sábado</v>
      </c>
      <c r="D7" s="11"/>
      <c r="E7" s="11"/>
      <c r="F7" s="11"/>
      <c r="G7" s="6" t="str">
        <f t="shared" si="3"/>
        <v/>
      </c>
      <c r="H7" s="11"/>
      <c r="I7" s="6" t="str">
        <f t="shared" si="4"/>
        <v/>
      </c>
      <c r="J7" s="11"/>
      <c r="K7" s="6" t="str">
        <f t="shared" si="5"/>
        <v/>
      </c>
      <c r="L7" s="11"/>
      <c r="M7" s="6" t="str">
        <f t="shared" si="6"/>
        <v/>
      </c>
      <c r="N7" s="11"/>
      <c r="O7" s="6" t="str">
        <f t="shared" si="7"/>
        <v/>
      </c>
      <c r="P7" s="12"/>
      <c r="Q7" s="8" t="str">
        <f>IF(P7="","",P7*'Config  Metas'!$B$10)</f>
        <v/>
      </c>
      <c r="R7" s="4" t="str">
        <f>IF(COUNTA(D7,E7,F7,H7,J7,L7,N7,P7)=0,"",IF(AND(D7&gt;0,E7/D7&lt;'Config  Metas'!$B$8),"🚨 COBERTURA DE LLAMADOS BAJA",IF(G7&lt;'Config  Metas'!$B$2,"🚨 CONTACTO BAJO",IF(I7&lt;'Config  Metas'!$B$3,"🚨 AGENDAMIENTO BAJO",IF(K7&lt;'Config  Metas'!$B$4,"⚠️ SHOW BAJO",IF(M7&lt;'Config  Metas'!$B$5,"🚨 RESERVA BAJA",IF(O7&lt;'Config  Metas'!$B$6,"🚨 CIERRE BAJO",IF(P7&lt;D7*'Config  Metas'!$B$15*'Config  Metas'!$B$9,"🔻 UF BAJO RITMO DINÁMICO","✅ DÍA SOBRE RITMO"))))))))</f>
        <v/>
      </c>
      <c r="S7" s="10"/>
      <c r="T7" s="10"/>
      <c r="U7" s="2"/>
      <c r="V7" s="2"/>
      <c r="W7" s="2"/>
      <c r="X7" s="2"/>
      <c r="Y7" s="2"/>
      <c r="Z7" s="2"/>
    </row>
    <row r="8">
      <c r="A8" s="3">
        <v>46173.0</v>
      </c>
      <c r="B8" s="4" t="str">
        <f t="shared" si="1"/>
        <v>Sem 1</v>
      </c>
      <c r="C8" s="4" t="str">
        <f t="shared" si="2"/>
        <v>Domingo</v>
      </c>
      <c r="D8" s="11"/>
      <c r="E8" s="11"/>
      <c r="F8" s="11"/>
      <c r="G8" s="6" t="str">
        <f t="shared" si="3"/>
        <v/>
      </c>
      <c r="H8" s="11"/>
      <c r="I8" s="6" t="str">
        <f t="shared" si="4"/>
        <v/>
      </c>
      <c r="J8" s="11"/>
      <c r="K8" s="6" t="str">
        <f t="shared" si="5"/>
        <v/>
      </c>
      <c r="L8" s="11"/>
      <c r="M8" s="6" t="str">
        <f t="shared" si="6"/>
        <v/>
      </c>
      <c r="N8" s="11"/>
      <c r="O8" s="6" t="str">
        <f t="shared" si="7"/>
        <v/>
      </c>
      <c r="P8" s="12"/>
      <c r="Q8" s="8" t="str">
        <f>IF(P8="","",P8*'Config  Metas'!$B$10)</f>
        <v/>
      </c>
      <c r="R8" s="4" t="str">
        <f>IF(COUNTA(D8,E8,F8,H8,J8,L8,N8,P8)=0,"",IF(AND(D8&gt;0,E8/D8&lt;'Config  Metas'!$B$8),"🚨 COBERTURA DE LLAMADOS BAJA",IF(G8&lt;'Config  Metas'!$B$2,"🚨 CONTACTO BAJO",IF(I8&lt;'Config  Metas'!$B$3,"🚨 AGENDAMIENTO BAJO",IF(K8&lt;'Config  Metas'!$B$4,"⚠️ SHOW BAJO",IF(M8&lt;'Config  Metas'!$B$5,"🚨 RESERVA BAJA",IF(O8&lt;'Config  Metas'!$B$6,"🚨 CIERRE BAJO",IF(P8&lt;D8*'Config  Metas'!$B$15*'Config  Metas'!$B$9,"🔻 UF BAJO RITMO DINÁMICO","✅ DÍA SOBRE RITMO"))))))))</f>
        <v/>
      </c>
      <c r="S8" s="10"/>
      <c r="T8" s="10"/>
      <c r="U8" s="2"/>
      <c r="V8" s="2"/>
      <c r="W8" s="2"/>
      <c r="X8" s="2"/>
      <c r="Y8" s="2"/>
      <c r="Z8" s="2"/>
    </row>
    <row r="9">
      <c r="A9" s="3">
        <v>46174.0</v>
      </c>
      <c r="B9" s="4" t="str">
        <f t="shared" si="1"/>
        <v>Sem 2</v>
      </c>
      <c r="C9" s="4" t="str">
        <f t="shared" si="2"/>
        <v>Lunes</v>
      </c>
      <c r="D9" s="11"/>
      <c r="E9" s="11"/>
      <c r="F9" s="11"/>
      <c r="G9" s="6" t="str">
        <f t="shared" si="3"/>
        <v/>
      </c>
      <c r="H9" s="11"/>
      <c r="I9" s="6" t="str">
        <f t="shared" si="4"/>
        <v/>
      </c>
      <c r="J9" s="11"/>
      <c r="K9" s="6" t="str">
        <f t="shared" si="5"/>
        <v/>
      </c>
      <c r="L9" s="11"/>
      <c r="M9" s="6" t="str">
        <f t="shared" si="6"/>
        <v/>
      </c>
      <c r="N9" s="11"/>
      <c r="O9" s="6" t="str">
        <f t="shared" si="7"/>
        <v/>
      </c>
      <c r="P9" s="12"/>
      <c r="Q9" s="8" t="str">
        <f>IF(P9="","",P9*'Config  Metas'!$B$10)</f>
        <v/>
      </c>
      <c r="R9" s="4" t="str">
        <f>IF(COUNTA(D9,E9,F9,H9,J9,L9,N9,P9)=0,"",IF(AND(D9&gt;0,E9/D9&lt;'Config  Metas'!$B$8),"🚨 COBERTURA DE LLAMADOS BAJA",IF(G9&lt;'Config  Metas'!$B$2,"🚨 CONTACTO BAJO",IF(I9&lt;'Config  Metas'!$B$3,"🚨 AGENDAMIENTO BAJO",IF(K9&lt;'Config  Metas'!$B$4,"⚠️ SHOW BAJO",IF(M9&lt;'Config  Metas'!$B$5,"🚨 RESERVA BAJA",IF(O9&lt;'Config  Metas'!$B$6,"🚨 CIERRE BAJO",IF(P9&lt;D9*'Config  Metas'!$B$15*'Config  Metas'!$B$9,"🔻 UF BAJO RITMO DINÁMICO","✅ DÍA SOBRE RITMO"))))))))</f>
        <v/>
      </c>
      <c r="S9" s="10"/>
      <c r="T9" s="10"/>
      <c r="U9" s="2"/>
      <c r="V9" s="2"/>
      <c r="W9" s="2"/>
      <c r="X9" s="2"/>
      <c r="Y9" s="2"/>
      <c r="Z9" s="2"/>
    </row>
    <row r="10">
      <c r="A10" s="3">
        <v>46175.0</v>
      </c>
      <c r="B10" s="4" t="str">
        <f t="shared" si="1"/>
        <v>Sem 2</v>
      </c>
      <c r="C10" s="4" t="str">
        <f t="shared" si="2"/>
        <v>Martes</v>
      </c>
      <c r="D10" s="11"/>
      <c r="E10" s="11"/>
      <c r="F10" s="11"/>
      <c r="G10" s="6" t="str">
        <f t="shared" si="3"/>
        <v/>
      </c>
      <c r="H10" s="11"/>
      <c r="I10" s="6" t="str">
        <f t="shared" si="4"/>
        <v/>
      </c>
      <c r="J10" s="11"/>
      <c r="K10" s="6" t="str">
        <f t="shared" si="5"/>
        <v/>
      </c>
      <c r="L10" s="11"/>
      <c r="M10" s="6" t="str">
        <f t="shared" si="6"/>
        <v/>
      </c>
      <c r="N10" s="11"/>
      <c r="O10" s="6" t="str">
        <f t="shared" si="7"/>
        <v/>
      </c>
      <c r="P10" s="12"/>
      <c r="Q10" s="8" t="str">
        <f>IF(P10="","",P10*'Config  Metas'!$B$10)</f>
        <v/>
      </c>
      <c r="R10" s="4" t="str">
        <f>IF(COUNTA(D10,E10,F10,H10,J10,L10,N10,P10)=0,"",IF(AND(D10&gt;0,E10/D10&lt;'Config  Metas'!$B$8),"🚨 COBERTURA DE LLAMADOS BAJA",IF(G10&lt;'Config  Metas'!$B$2,"🚨 CONTACTO BAJO",IF(I10&lt;'Config  Metas'!$B$3,"🚨 AGENDAMIENTO BAJO",IF(K10&lt;'Config  Metas'!$B$4,"⚠️ SHOW BAJO",IF(M10&lt;'Config  Metas'!$B$5,"🚨 RESERVA BAJA",IF(O10&lt;'Config  Metas'!$B$6,"🚨 CIERRE BAJO",IF(P10&lt;D10*'Config  Metas'!$B$15*'Config  Metas'!$B$9,"🔻 UF BAJO RITMO DINÁMICO","✅ DÍA SOBRE RITMO"))))))))</f>
        <v/>
      </c>
      <c r="S10" s="10"/>
      <c r="T10" s="10"/>
      <c r="U10" s="2"/>
      <c r="V10" s="2"/>
      <c r="W10" s="2"/>
      <c r="X10" s="2"/>
      <c r="Y10" s="2"/>
      <c r="Z10" s="2"/>
    </row>
    <row r="11">
      <c r="A11" s="3">
        <v>46176.0</v>
      </c>
      <c r="B11" s="4" t="str">
        <f t="shared" si="1"/>
        <v>Sem 2</v>
      </c>
      <c r="C11" s="4" t="str">
        <f t="shared" si="2"/>
        <v>Miércoles</v>
      </c>
      <c r="D11" s="11"/>
      <c r="E11" s="11"/>
      <c r="F11" s="11"/>
      <c r="G11" s="6" t="str">
        <f t="shared" si="3"/>
        <v/>
      </c>
      <c r="H11" s="11"/>
      <c r="I11" s="6" t="str">
        <f t="shared" si="4"/>
        <v/>
      </c>
      <c r="J11" s="11"/>
      <c r="K11" s="6" t="str">
        <f t="shared" si="5"/>
        <v/>
      </c>
      <c r="L11" s="11"/>
      <c r="M11" s="6" t="str">
        <f t="shared" si="6"/>
        <v/>
      </c>
      <c r="N11" s="11"/>
      <c r="O11" s="6" t="str">
        <f t="shared" si="7"/>
        <v/>
      </c>
      <c r="P11" s="12"/>
      <c r="Q11" s="8" t="str">
        <f>IF(P11="","",P11*'Config  Metas'!$B$10)</f>
        <v/>
      </c>
      <c r="R11" s="4" t="str">
        <f>IF(COUNTA(D11,E11,F11,H11,J11,L11,N11,P11)=0,"",IF(AND(D11&gt;0,E11/D11&lt;'Config  Metas'!$B$8),"🚨 COBERTURA DE LLAMADOS BAJA",IF(G11&lt;'Config  Metas'!$B$2,"🚨 CONTACTO BAJO",IF(I11&lt;'Config  Metas'!$B$3,"🚨 AGENDAMIENTO BAJO",IF(K11&lt;'Config  Metas'!$B$4,"⚠️ SHOW BAJO",IF(M11&lt;'Config  Metas'!$B$5,"🚨 RESERVA BAJA",IF(O11&lt;'Config  Metas'!$B$6,"🚨 CIERRE BAJO",IF(P11&lt;D11*'Config  Metas'!$B$15*'Config  Metas'!$B$9,"🔻 UF BAJO RITMO DINÁMICO","✅ DÍA SOBRE RITMO"))))))))</f>
        <v/>
      </c>
      <c r="S11" s="10"/>
      <c r="T11" s="10"/>
      <c r="U11" s="2"/>
      <c r="V11" s="2"/>
      <c r="W11" s="2"/>
      <c r="X11" s="2"/>
      <c r="Y11" s="2"/>
      <c r="Z11" s="2"/>
    </row>
    <row r="12">
      <c r="A12" s="3">
        <v>46177.0</v>
      </c>
      <c r="B12" s="4" t="str">
        <f t="shared" si="1"/>
        <v>Sem 2</v>
      </c>
      <c r="C12" s="4" t="str">
        <f t="shared" si="2"/>
        <v>Jueves</v>
      </c>
      <c r="D12" s="11"/>
      <c r="E12" s="11"/>
      <c r="F12" s="11"/>
      <c r="G12" s="6" t="str">
        <f t="shared" si="3"/>
        <v/>
      </c>
      <c r="H12" s="11"/>
      <c r="I12" s="6" t="str">
        <f t="shared" si="4"/>
        <v/>
      </c>
      <c r="J12" s="11"/>
      <c r="K12" s="6" t="str">
        <f t="shared" si="5"/>
        <v/>
      </c>
      <c r="L12" s="11"/>
      <c r="M12" s="6" t="str">
        <f t="shared" si="6"/>
        <v/>
      </c>
      <c r="N12" s="11"/>
      <c r="O12" s="6" t="str">
        <f t="shared" si="7"/>
        <v/>
      </c>
      <c r="P12" s="12"/>
      <c r="Q12" s="8" t="str">
        <f>IF(P12="","",P12*'Config  Metas'!$B$10)</f>
        <v/>
      </c>
      <c r="R12" s="4" t="str">
        <f>IF(COUNTA(D12,E12,F12,H12,J12,L12,N12,P12)=0,"",IF(AND(D12&gt;0,E12/D12&lt;'Config  Metas'!$B$8),"🚨 COBERTURA DE LLAMADOS BAJA",IF(G12&lt;'Config  Metas'!$B$2,"🚨 CONTACTO BAJO",IF(I12&lt;'Config  Metas'!$B$3,"🚨 AGENDAMIENTO BAJO",IF(K12&lt;'Config  Metas'!$B$4,"⚠️ SHOW BAJO",IF(M12&lt;'Config  Metas'!$B$5,"🚨 RESERVA BAJA",IF(O12&lt;'Config  Metas'!$B$6,"🚨 CIERRE BAJO",IF(P12&lt;D12*'Config  Metas'!$B$15*'Config  Metas'!$B$9,"🔻 UF BAJO RITMO DINÁMICO","✅ DÍA SOBRE RITMO"))))))))</f>
        <v/>
      </c>
      <c r="S12" s="10"/>
      <c r="T12" s="10"/>
      <c r="U12" s="2"/>
      <c r="V12" s="2"/>
      <c r="W12" s="2"/>
      <c r="X12" s="2"/>
      <c r="Y12" s="2"/>
      <c r="Z12" s="2"/>
    </row>
    <row r="13">
      <c r="A13" s="3">
        <v>46178.0</v>
      </c>
      <c r="B13" s="4" t="str">
        <f t="shared" si="1"/>
        <v>Sem 2</v>
      </c>
      <c r="C13" s="4" t="str">
        <f t="shared" si="2"/>
        <v>Viernes</v>
      </c>
      <c r="D13" s="11"/>
      <c r="E13" s="11"/>
      <c r="F13" s="11"/>
      <c r="G13" s="6" t="str">
        <f t="shared" si="3"/>
        <v/>
      </c>
      <c r="H13" s="11"/>
      <c r="I13" s="6" t="str">
        <f t="shared" si="4"/>
        <v/>
      </c>
      <c r="J13" s="11"/>
      <c r="K13" s="6" t="str">
        <f t="shared" si="5"/>
        <v/>
      </c>
      <c r="L13" s="11"/>
      <c r="M13" s="6" t="str">
        <f t="shared" si="6"/>
        <v/>
      </c>
      <c r="N13" s="11"/>
      <c r="O13" s="6" t="str">
        <f t="shared" si="7"/>
        <v/>
      </c>
      <c r="P13" s="12"/>
      <c r="Q13" s="8" t="str">
        <f>IF(P13="","",P13*'Config  Metas'!$B$10)</f>
        <v/>
      </c>
      <c r="R13" s="4" t="str">
        <f>IF(COUNTA(D13,E13,F13,H13,J13,L13,N13,P13)=0,"",IF(AND(D13&gt;0,E13/D13&lt;'Config  Metas'!$B$8),"🚨 COBERTURA DE LLAMADOS BAJA",IF(G13&lt;'Config  Metas'!$B$2,"🚨 CONTACTO BAJO",IF(I13&lt;'Config  Metas'!$B$3,"🚨 AGENDAMIENTO BAJO",IF(K13&lt;'Config  Metas'!$B$4,"⚠️ SHOW BAJO",IF(M13&lt;'Config  Metas'!$B$5,"🚨 RESERVA BAJA",IF(O13&lt;'Config  Metas'!$B$6,"🚨 CIERRE BAJO",IF(P13&lt;D13*'Config  Metas'!$B$15*'Config  Metas'!$B$9,"🔻 UF BAJO RITMO DINÁMICO","✅ DÍA SOBRE RITMO"))))))))</f>
        <v/>
      </c>
      <c r="S13" s="10"/>
      <c r="T13" s="10"/>
      <c r="U13" s="2"/>
      <c r="V13" s="2"/>
      <c r="W13" s="2"/>
      <c r="X13" s="2"/>
      <c r="Y13" s="2"/>
      <c r="Z13" s="2"/>
    </row>
    <row r="14">
      <c r="A14" s="3">
        <v>46179.0</v>
      </c>
      <c r="B14" s="4" t="str">
        <f t="shared" si="1"/>
        <v>Sem 2</v>
      </c>
      <c r="C14" s="4" t="str">
        <f t="shared" si="2"/>
        <v>Sábado</v>
      </c>
      <c r="D14" s="11"/>
      <c r="E14" s="11"/>
      <c r="F14" s="11"/>
      <c r="G14" s="6" t="str">
        <f t="shared" si="3"/>
        <v/>
      </c>
      <c r="H14" s="11"/>
      <c r="I14" s="6" t="str">
        <f t="shared" si="4"/>
        <v/>
      </c>
      <c r="J14" s="11"/>
      <c r="K14" s="6" t="str">
        <f t="shared" si="5"/>
        <v/>
      </c>
      <c r="L14" s="11"/>
      <c r="M14" s="6" t="str">
        <f t="shared" si="6"/>
        <v/>
      </c>
      <c r="N14" s="11"/>
      <c r="O14" s="6" t="str">
        <f t="shared" si="7"/>
        <v/>
      </c>
      <c r="P14" s="12"/>
      <c r="Q14" s="8" t="str">
        <f>IF(P14="","",P14*'Config  Metas'!$B$10)</f>
        <v/>
      </c>
      <c r="R14" s="4" t="str">
        <f>IF(COUNTA(D14,E14,F14,H14,J14,L14,N14,P14)=0,"",IF(AND(D14&gt;0,E14/D14&lt;'Config  Metas'!$B$8),"🚨 COBERTURA DE LLAMADOS BAJA",IF(G14&lt;'Config  Metas'!$B$2,"🚨 CONTACTO BAJO",IF(I14&lt;'Config  Metas'!$B$3,"🚨 AGENDAMIENTO BAJO",IF(K14&lt;'Config  Metas'!$B$4,"⚠️ SHOW BAJO",IF(M14&lt;'Config  Metas'!$B$5,"🚨 RESERVA BAJA",IF(O14&lt;'Config  Metas'!$B$6,"🚨 CIERRE BAJO",IF(P14&lt;D14*'Config  Metas'!$B$15*'Config  Metas'!$B$9,"🔻 UF BAJO RITMO DINÁMICO","✅ DÍA SOBRE RITMO"))))))))</f>
        <v/>
      </c>
      <c r="S14" s="10"/>
      <c r="T14" s="10"/>
      <c r="U14" s="2"/>
      <c r="V14" s="2"/>
      <c r="W14" s="2"/>
      <c r="X14" s="2"/>
      <c r="Y14" s="2"/>
      <c r="Z14" s="2"/>
    </row>
    <row r="15">
      <c r="A15" s="3">
        <v>46180.0</v>
      </c>
      <c r="B15" s="4" t="str">
        <f t="shared" si="1"/>
        <v>Sem 2</v>
      </c>
      <c r="C15" s="4" t="str">
        <f t="shared" si="2"/>
        <v>Domingo</v>
      </c>
      <c r="D15" s="11"/>
      <c r="E15" s="11"/>
      <c r="F15" s="11"/>
      <c r="G15" s="6" t="str">
        <f t="shared" si="3"/>
        <v/>
      </c>
      <c r="H15" s="11"/>
      <c r="I15" s="6" t="str">
        <f t="shared" si="4"/>
        <v/>
      </c>
      <c r="J15" s="11"/>
      <c r="K15" s="6" t="str">
        <f t="shared" si="5"/>
        <v/>
      </c>
      <c r="L15" s="11"/>
      <c r="M15" s="6" t="str">
        <f t="shared" si="6"/>
        <v/>
      </c>
      <c r="N15" s="11"/>
      <c r="O15" s="6" t="str">
        <f t="shared" si="7"/>
        <v/>
      </c>
      <c r="P15" s="12"/>
      <c r="Q15" s="8" t="str">
        <f>IF(P15="","",P15*'Config  Metas'!$B$10)</f>
        <v/>
      </c>
      <c r="R15" s="4" t="str">
        <f>IF(COUNTA(D15,E15,F15,H15,J15,L15,N15,P15)=0,"",IF(AND(D15&gt;0,E15/D15&lt;'Config  Metas'!$B$8),"🚨 COBERTURA DE LLAMADOS BAJA",IF(G15&lt;'Config  Metas'!$B$2,"🚨 CONTACTO BAJO",IF(I15&lt;'Config  Metas'!$B$3,"🚨 AGENDAMIENTO BAJO",IF(K15&lt;'Config  Metas'!$B$4,"⚠️ SHOW BAJO",IF(M15&lt;'Config  Metas'!$B$5,"🚨 RESERVA BAJA",IF(O15&lt;'Config  Metas'!$B$6,"🚨 CIERRE BAJO",IF(P15&lt;D15*'Config  Metas'!$B$15*'Config  Metas'!$B$9,"🔻 UF BAJO RITMO DINÁMICO","✅ DÍA SOBRE RITMO"))))))))</f>
        <v/>
      </c>
      <c r="S15" s="10"/>
      <c r="T15" s="10"/>
      <c r="U15" s="2"/>
      <c r="V15" s="2"/>
      <c r="W15" s="2"/>
      <c r="X15" s="2"/>
      <c r="Y15" s="2"/>
      <c r="Z15" s="2"/>
    </row>
    <row r="16">
      <c r="A16" s="3">
        <v>46181.0</v>
      </c>
      <c r="B16" s="4" t="str">
        <f t="shared" si="1"/>
        <v>Sem 3</v>
      </c>
      <c r="C16" s="4" t="str">
        <f t="shared" si="2"/>
        <v>Lunes</v>
      </c>
      <c r="D16" s="11"/>
      <c r="E16" s="11"/>
      <c r="F16" s="11"/>
      <c r="G16" s="6" t="str">
        <f t="shared" si="3"/>
        <v/>
      </c>
      <c r="H16" s="11"/>
      <c r="I16" s="6" t="str">
        <f t="shared" si="4"/>
        <v/>
      </c>
      <c r="J16" s="11"/>
      <c r="K16" s="6" t="str">
        <f t="shared" si="5"/>
        <v/>
      </c>
      <c r="L16" s="11"/>
      <c r="M16" s="6" t="str">
        <f t="shared" si="6"/>
        <v/>
      </c>
      <c r="N16" s="11"/>
      <c r="O16" s="6" t="str">
        <f t="shared" si="7"/>
        <v/>
      </c>
      <c r="P16" s="12"/>
      <c r="Q16" s="8" t="str">
        <f>IF(P16="","",P16*'Config  Metas'!$B$10)</f>
        <v/>
      </c>
      <c r="R16" s="4" t="str">
        <f>IF(COUNTA(D16,E16,F16,H16,J16,L16,N16,P16)=0,"",IF(AND(D16&gt;0,E16/D16&lt;'Config  Metas'!$B$8),"🚨 COBERTURA DE LLAMADOS BAJA",IF(G16&lt;'Config  Metas'!$B$2,"🚨 CONTACTO BAJO",IF(I16&lt;'Config  Metas'!$B$3,"🚨 AGENDAMIENTO BAJO",IF(K16&lt;'Config  Metas'!$B$4,"⚠️ SHOW BAJO",IF(M16&lt;'Config  Metas'!$B$5,"🚨 RESERVA BAJA",IF(O16&lt;'Config  Metas'!$B$6,"🚨 CIERRE BAJO",IF(P16&lt;D16*'Config  Metas'!$B$15*'Config  Metas'!$B$9,"🔻 UF BAJO RITMO DINÁMICO","✅ DÍA SOBRE RITMO"))))))))</f>
        <v/>
      </c>
      <c r="S16" s="10"/>
      <c r="T16" s="10"/>
      <c r="U16" s="2"/>
      <c r="V16" s="2"/>
      <c r="W16" s="2"/>
      <c r="X16" s="2"/>
      <c r="Y16" s="2"/>
      <c r="Z16" s="2"/>
    </row>
    <row r="17">
      <c r="A17" s="3">
        <v>46182.0</v>
      </c>
      <c r="B17" s="4" t="str">
        <f t="shared" si="1"/>
        <v>Sem 3</v>
      </c>
      <c r="C17" s="4" t="str">
        <f t="shared" si="2"/>
        <v>Martes</v>
      </c>
      <c r="D17" s="11"/>
      <c r="E17" s="11"/>
      <c r="F17" s="11"/>
      <c r="G17" s="6" t="str">
        <f t="shared" si="3"/>
        <v/>
      </c>
      <c r="H17" s="11"/>
      <c r="I17" s="6" t="str">
        <f t="shared" si="4"/>
        <v/>
      </c>
      <c r="J17" s="11"/>
      <c r="K17" s="6" t="str">
        <f t="shared" si="5"/>
        <v/>
      </c>
      <c r="L17" s="11"/>
      <c r="M17" s="6" t="str">
        <f t="shared" si="6"/>
        <v/>
      </c>
      <c r="N17" s="11"/>
      <c r="O17" s="6" t="str">
        <f t="shared" si="7"/>
        <v/>
      </c>
      <c r="P17" s="12"/>
      <c r="Q17" s="8" t="str">
        <f>IF(P17="","",P17*'Config  Metas'!$B$10)</f>
        <v/>
      </c>
      <c r="R17" s="4" t="str">
        <f>IF(COUNTA(D17,E17,F17,H17,J17,L17,N17,P17)=0,"",IF(AND(D17&gt;0,E17/D17&lt;'Config  Metas'!$B$8),"🚨 COBERTURA DE LLAMADOS BAJA",IF(G17&lt;'Config  Metas'!$B$2,"🚨 CONTACTO BAJO",IF(I17&lt;'Config  Metas'!$B$3,"🚨 AGENDAMIENTO BAJO",IF(K17&lt;'Config  Metas'!$B$4,"⚠️ SHOW BAJO",IF(M17&lt;'Config  Metas'!$B$5,"🚨 RESERVA BAJA",IF(O17&lt;'Config  Metas'!$B$6,"🚨 CIERRE BAJO",IF(P17&lt;D17*'Config  Metas'!$B$15*'Config  Metas'!$B$9,"🔻 UF BAJO RITMO DINÁMICO","✅ DÍA SOBRE RITMO"))))))))</f>
        <v/>
      </c>
      <c r="S17" s="10"/>
      <c r="T17" s="10"/>
      <c r="U17" s="2"/>
      <c r="V17" s="2"/>
      <c r="W17" s="2"/>
      <c r="X17" s="2"/>
      <c r="Y17" s="2"/>
      <c r="Z17" s="2"/>
    </row>
    <row r="18">
      <c r="A18" s="3">
        <v>46183.0</v>
      </c>
      <c r="B18" s="4" t="str">
        <f t="shared" si="1"/>
        <v>Sem 3</v>
      </c>
      <c r="C18" s="4" t="str">
        <f t="shared" si="2"/>
        <v>Miércoles</v>
      </c>
      <c r="D18" s="11"/>
      <c r="E18" s="11"/>
      <c r="F18" s="11"/>
      <c r="G18" s="6" t="str">
        <f t="shared" si="3"/>
        <v/>
      </c>
      <c r="H18" s="11"/>
      <c r="I18" s="6" t="str">
        <f t="shared" si="4"/>
        <v/>
      </c>
      <c r="J18" s="11"/>
      <c r="K18" s="6" t="str">
        <f t="shared" si="5"/>
        <v/>
      </c>
      <c r="L18" s="11"/>
      <c r="M18" s="6" t="str">
        <f t="shared" si="6"/>
        <v/>
      </c>
      <c r="N18" s="11"/>
      <c r="O18" s="6" t="str">
        <f t="shared" si="7"/>
        <v/>
      </c>
      <c r="P18" s="12"/>
      <c r="Q18" s="8" t="str">
        <f>IF(P18="","",P18*'Config  Metas'!$B$10)</f>
        <v/>
      </c>
      <c r="R18" s="4" t="str">
        <f>IF(COUNTA(D18,E18,F18,H18,J18,L18,N18,P18)=0,"",IF(AND(D18&gt;0,E18/D18&lt;'Config  Metas'!$B$8),"🚨 COBERTURA DE LLAMADOS BAJA",IF(G18&lt;'Config  Metas'!$B$2,"🚨 CONTACTO BAJO",IF(I18&lt;'Config  Metas'!$B$3,"🚨 AGENDAMIENTO BAJO",IF(K18&lt;'Config  Metas'!$B$4,"⚠️ SHOW BAJO",IF(M18&lt;'Config  Metas'!$B$5,"🚨 RESERVA BAJA",IF(O18&lt;'Config  Metas'!$B$6,"🚨 CIERRE BAJO",IF(P18&lt;D18*'Config  Metas'!$B$15*'Config  Metas'!$B$9,"🔻 UF BAJO RITMO DINÁMICO","✅ DÍA SOBRE RITMO"))))))))</f>
        <v/>
      </c>
      <c r="S18" s="10"/>
      <c r="T18" s="10"/>
      <c r="U18" s="2"/>
      <c r="V18" s="2"/>
      <c r="W18" s="2"/>
      <c r="X18" s="2"/>
      <c r="Y18" s="2"/>
      <c r="Z18" s="2"/>
    </row>
    <row r="19">
      <c r="A19" s="3">
        <v>46184.0</v>
      </c>
      <c r="B19" s="4" t="str">
        <f t="shared" si="1"/>
        <v>Sem 3</v>
      </c>
      <c r="C19" s="4" t="str">
        <f t="shared" si="2"/>
        <v>Jueves</v>
      </c>
      <c r="D19" s="11"/>
      <c r="E19" s="11"/>
      <c r="F19" s="11"/>
      <c r="G19" s="6" t="str">
        <f t="shared" si="3"/>
        <v/>
      </c>
      <c r="H19" s="11"/>
      <c r="I19" s="6" t="str">
        <f t="shared" si="4"/>
        <v/>
      </c>
      <c r="J19" s="11"/>
      <c r="K19" s="6" t="str">
        <f t="shared" si="5"/>
        <v/>
      </c>
      <c r="L19" s="11"/>
      <c r="M19" s="6" t="str">
        <f t="shared" si="6"/>
        <v/>
      </c>
      <c r="N19" s="11"/>
      <c r="O19" s="6" t="str">
        <f t="shared" si="7"/>
        <v/>
      </c>
      <c r="P19" s="12"/>
      <c r="Q19" s="8" t="str">
        <f>IF(P19="","",P19*'Config  Metas'!$B$10)</f>
        <v/>
      </c>
      <c r="R19" s="4" t="str">
        <f>IF(COUNTA(D19,E19,F19,H19,J19,L19,N19,P19)=0,"",IF(AND(D19&gt;0,E19/D19&lt;'Config  Metas'!$B$8),"🚨 COBERTURA DE LLAMADOS BAJA",IF(G19&lt;'Config  Metas'!$B$2,"🚨 CONTACTO BAJO",IF(I19&lt;'Config  Metas'!$B$3,"🚨 AGENDAMIENTO BAJO",IF(K19&lt;'Config  Metas'!$B$4,"⚠️ SHOW BAJO",IF(M19&lt;'Config  Metas'!$B$5,"🚨 RESERVA BAJA",IF(O19&lt;'Config  Metas'!$B$6,"🚨 CIERRE BAJO",IF(P19&lt;D19*'Config  Metas'!$B$15*'Config  Metas'!$B$9,"🔻 UF BAJO RITMO DINÁMICO","✅ DÍA SOBRE RITMO"))))))))</f>
        <v/>
      </c>
      <c r="S19" s="10"/>
      <c r="T19" s="10"/>
      <c r="U19" s="2"/>
      <c r="V19" s="2"/>
      <c r="W19" s="2"/>
      <c r="X19" s="2"/>
      <c r="Y19" s="2"/>
      <c r="Z19" s="2"/>
    </row>
    <row r="20">
      <c r="A20" s="3">
        <v>46185.0</v>
      </c>
      <c r="B20" s="4" t="str">
        <f t="shared" si="1"/>
        <v>Sem 3</v>
      </c>
      <c r="C20" s="4" t="str">
        <f t="shared" si="2"/>
        <v>Viernes</v>
      </c>
      <c r="D20" s="11"/>
      <c r="E20" s="11"/>
      <c r="F20" s="11"/>
      <c r="G20" s="6" t="str">
        <f t="shared" si="3"/>
        <v/>
      </c>
      <c r="H20" s="11"/>
      <c r="I20" s="6" t="str">
        <f t="shared" si="4"/>
        <v/>
      </c>
      <c r="J20" s="11"/>
      <c r="K20" s="6" t="str">
        <f t="shared" si="5"/>
        <v/>
      </c>
      <c r="L20" s="11"/>
      <c r="M20" s="6" t="str">
        <f t="shared" si="6"/>
        <v/>
      </c>
      <c r="N20" s="11"/>
      <c r="O20" s="6" t="str">
        <f t="shared" si="7"/>
        <v/>
      </c>
      <c r="P20" s="12"/>
      <c r="Q20" s="8" t="str">
        <f>IF(P20="","",P20*'Config  Metas'!$B$10)</f>
        <v/>
      </c>
      <c r="R20" s="4" t="str">
        <f>IF(COUNTA(D20,E20,F20,H20,J20,L20,N20,P20)=0,"",IF(AND(D20&gt;0,E20/D20&lt;'Config  Metas'!$B$8),"🚨 COBERTURA DE LLAMADOS BAJA",IF(G20&lt;'Config  Metas'!$B$2,"🚨 CONTACTO BAJO",IF(I20&lt;'Config  Metas'!$B$3,"🚨 AGENDAMIENTO BAJO",IF(K20&lt;'Config  Metas'!$B$4,"⚠️ SHOW BAJO",IF(M20&lt;'Config  Metas'!$B$5,"🚨 RESERVA BAJA",IF(O20&lt;'Config  Metas'!$B$6,"🚨 CIERRE BAJO",IF(P20&lt;D20*'Config  Metas'!$B$15*'Config  Metas'!$B$9,"🔻 UF BAJO RITMO DINÁMICO","✅ DÍA SOBRE RITMO"))))))))</f>
        <v/>
      </c>
      <c r="S20" s="10"/>
      <c r="T20" s="10"/>
      <c r="U20" s="2"/>
      <c r="V20" s="2"/>
      <c r="W20" s="2"/>
      <c r="X20" s="2"/>
      <c r="Y20" s="2"/>
      <c r="Z20" s="2"/>
    </row>
    <row r="21" ht="15.75" customHeight="1">
      <c r="A21" s="3">
        <v>46186.0</v>
      </c>
      <c r="B21" s="4" t="str">
        <f t="shared" si="1"/>
        <v>Sem 3</v>
      </c>
      <c r="C21" s="4" t="str">
        <f t="shared" si="2"/>
        <v>Sábado</v>
      </c>
      <c r="D21" s="11"/>
      <c r="E21" s="11"/>
      <c r="F21" s="11"/>
      <c r="G21" s="6" t="str">
        <f t="shared" si="3"/>
        <v/>
      </c>
      <c r="H21" s="11"/>
      <c r="I21" s="6" t="str">
        <f t="shared" si="4"/>
        <v/>
      </c>
      <c r="J21" s="11"/>
      <c r="K21" s="6" t="str">
        <f t="shared" si="5"/>
        <v/>
      </c>
      <c r="L21" s="11"/>
      <c r="M21" s="6" t="str">
        <f t="shared" si="6"/>
        <v/>
      </c>
      <c r="N21" s="11"/>
      <c r="O21" s="6" t="str">
        <f t="shared" si="7"/>
        <v/>
      </c>
      <c r="P21" s="12"/>
      <c r="Q21" s="8" t="str">
        <f>IF(P21="","",P21*'Config  Metas'!$B$10)</f>
        <v/>
      </c>
      <c r="R21" s="4" t="str">
        <f>IF(COUNTA(D21,E21,F21,H21,J21,L21,N21,P21)=0,"",IF(AND(D21&gt;0,E21/D21&lt;'Config  Metas'!$B$8),"🚨 COBERTURA DE LLAMADOS BAJA",IF(G21&lt;'Config  Metas'!$B$2,"🚨 CONTACTO BAJO",IF(I21&lt;'Config  Metas'!$B$3,"🚨 AGENDAMIENTO BAJO",IF(K21&lt;'Config  Metas'!$B$4,"⚠️ SHOW BAJO",IF(M21&lt;'Config  Metas'!$B$5,"🚨 RESERVA BAJA",IF(O21&lt;'Config  Metas'!$B$6,"🚨 CIERRE BAJO",IF(P21&lt;D21*'Config  Metas'!$B$15*'Config  Metas'!$B$9,"🔻 UF BAJO RITMO DINÁMICO","✅ DÍA SOBRE RITMO"))))))))</f>
        <v/>
      </c>
      <c r="S21" s="10"/>
      <c r="T21" s="10"/>
      <c r="U21" s="2"/>
      <c r="V21" s="2"/>
      <c r="W21" s="2"/>
      <c r="X21" s="2"/>
      <c r="Y21" s="2"/>
      <c r="Z21" s="2"/>
    </row>
    <row r="22" ht="15.75" customHeight="1">
      <c r="A22" s="3">
        <v>46187.0</v>
      </c>
      <c r="B22" s="4" t="str">
        <f t="shared" si="1"/>
        <v>Sem 3</v>
      </c>
      <c r="C22" s="4" t="str">
        <f t="shared" si="2"/>
        <v>Domingo</v>
      </c>
      <c r="D22" s="11"/>
      <c r="E22" s="11"/>
      <c r="F22" s="11"/>
      <c r="G22" s="6" t="str">
        <f t="shared" si="3"/>
        <v/>
      </c>
      <c r="H22" s="11"/>
      <c r="I22" s="6" t="str">
        <f t="shared" si="4"/>
        <v/>
      </c>
      <c r="J22" s="11"/>
      <c r="K22" s="6" t="str">
        <f t="shared" si="5"/>
        <v/>
      </c>
      <c r="L22" s="11"/>
      <c r="M22" s="6" t="str">
        <f t="shared" si="6"/>
        <v/>
      </c>
      <c r="N22" s="11"/>
      <c r="O22" s="6" t="str">
        <f t="shared" si="7"/>
        <v/>
      </c>
      <c r="P22" s="12"/>
      <c r="Q22" s="8" t="str">
        <f>IF(P22="","",P22*'Config  Metas'!$B$10)</f>
        <v/>
      </c>
      <c r="R22" s="4" t="str">
        <f>IF(COUNTA(D22,E22,F22,H22,J22,L22,N22,P22)=0,"",IF(AND(D22&gt;0,E22/D22&lt;'Config  Metas'!$B$8),"🚨 COBERTURA DE LLAMADOS BAJA",IF(G22&lt;'Config  Metas'!$B$2,"🚨 CONTACTO BAJO",IF(I22&lt;'Config  Metas'!$B$3,"🚨 AGENDAMIENTO BAJO",IF(K22&lt;'Config  Metas'!$B$4,"⚠️ SHOW BAJO",IF(M22&lt;'Config  Metas'!$B$5,"🚨 RESERVA BAJA",IF(O22&lt;'Config  Metas'!$B$6,"🚨 CIERRE BAJO",IF(P22&lt;D22*'Config  Metas'!$B$15*'Config  Metas'!$B$9,"🔻 UF BAJO RITMO DINÁMICO","✅ DÍA SOBRE RITMO"))))))))</f>
        <v/>
      </c>
      <c r="S22" s="10"/>
      <c r="T22" s="10"/>
      <c r="U22" s="2"/>
      <c r="V22" s="2"/>
      <c r="W22" s="2"/>
      <c r="X22" s="2"/>
      <c r="Y22" s="2"/>
      <c r="Z22" s="2"/>
    </row>
    <row r="23" ht="15.75" customHeight="1">
      <c r="A23" s="3">
        <v>46188.0</v>
      </c>
      <c r="B23" s="4" t="str">
        <f t="shared" si="1"/>
        <v>Sem 4</v>
      </c>
      <c r="C23" s="4" t="str">
        <f t="shared" si="2"/>
        <v>Lunes</v>
      </c>
      <c r="D23" s="11"/>
      <c r="E23" s="11"/>
      <c r="F23" s="11"/>
      <c r="G23" s="6" t="str">
        <f t="shared" si="3"/>
        <v/>
      </c>
      <c r="H23" s="11"/>
      <c r="I23" s="6" t="str">
        <f t="shared" si="4"/>
        <v/>
      </c>
      <c r="J23" s="11"/>
      <c r="K23" s="6" t="str">
        <f t="shared" si="5"/>
        <v/>
      </c>
      <c r="L23" s="11"/>
      <c r="M23" s="6" t="str">
        <f t="shared" si="6"/>
        <v/>
      </c>
      <c r="N23" s="11"/>
      <c r="O23" s="6" t="str">
        <f t="shared" si="7"/>
        <v/>
      </c>
      <c r="P23" s="12"/>
      <c r="Q23" s="8" t="str">
        <f>IF(P23="","",P23*'Config  Metas'!$B$10)</f>
        <v/>
      </c>
      <c r="R23" s="4" t="str">
        <f>IF(COUNTA(D23,E23,F23,H23,J23,L23,N23,P23)=0,"",IF(AND(D23&gt;0,E23/D23&lt;'Config  Metas'!$B$8),"🚨 COBERTURA DE LLAMADOS BAJA",IF(G23&lt;'Config  Metas'!$B$2,"🚨 CONTACTO BAJO",IF(I23&lt;'Config  Metas'!$B$3,"🚨 AGENDAMIENTO BAJO",IF(K23&lt;'Config  Metas'!$B$4,"⚠️ SHOW BAJO",IF(M23&lt;'Config  Metas'!$B$5,"🚨 RESERVA BAJA",IF(O23&lt;'Config  Metas'!$B$6,"🚨 CIERRE BAJO",IF(P23&lt;D23*'Config  Metas'!$B$15*'Config  Metas'!$B$9,"🔻 UF BAJO RITMO DINÁMICO","✅ DÍA SOBRE RITMO"))))))))</f>
        <v/>
      </c>
      <c r="S23" s="10"/>
      <c r="T23" s="10"/>
      <c r="U23" s="2"/>
      <c r="V23" s="2"/>
      <c r="W23" s="2"/>
      <c r="X23" s="2"/>
      <c r="Y23" s="2"/>
      <c r="Z23" s="2"/>
    </row>
    <row r="24" ht="15.75" customHeight="1">
      <c r="A24" s="3">
        <v>46189.0</v>
      </c>
      <c r="B24" s="4" t="str">
        <f t="shared" si="1"/>
        <v>Sem 4</v>
      </c>
      <c r="C24" s="4" t="str">
        <f t="shared" si="2"/>
        <v>Martes</v>
      </c>
      <c r="D24" s="11"/>
      <c r="E24" s="11"/>
      <c r="F24" s="11"/>
      <c r="G24" s="6" t="str">
        <f t="shared" si="3"/>
        <v/>
      </c>
      <c r="H24" s="11"/>
      <c r="I24" s="6" t="str">
        <f t="shared" si="4"/>
        <v/>
      </c>
      <c r="J24" s="11"/>
      <c r="K24" s="6" t="str">
        <f t="shared" si="5"/>
        <v/>
      </c>
      <c r="L24" s="11"/>
      <c r="M24" s="6" t="str">
        <f t="shared" si="6"/>
        <v/>
      </c>
      <c r="N24" s="11"/>
      <c r="O24" s="6" t="str">
        <f t="shared" si="7"/>
        <v/>
      </c>
      <c r="P24" s="12"/>
      <c r="Q24" s="8" t="str">
        <f>IF(P24="","",P24*'Config  Metas'!$B$10)</f>
        <v/>
      </c>
      <c r="R24" s="4" t="str">
        <f>IF(COUNTA(D24,E24,F24,H24,J24,L24,N24,P24)=0,"",IF(AND(D24&gt;0,E24/D24&lt;'Config  Metas'!$B$8),"🚨 COBERTURA DE LLAMADOS BAJA",IF(G24&lt;'Config  Metas'!$B$2,"🚨 CONTACTO BAJO",IF(I24&lt;'Config  Metas'!$B$3,"🚨 AGENDAMIENTO BAJO",IF(K24&lt;'Config  Metas'!$B$4,"⚠️ SHOW BAJO",IF(M24&lt;'Config  Metas'!$B$5,"🚨 RESERVA BAJA",IF(O24&lt;'Config  Metas'!$B$6,"🚨 CIERRE BAJO",IF(P24&lt;D24*'Config  Metas'!$B$15*'Config  Metas'!$B$9,"🔻 UF BAJO RITMO DINÁMICO","✅ DÍA SOBRE RITMO"))))))))</f>
        <v/>
      </c>
      <c r="S24" s="10"/>
      <c r="T24" s="10"/>
      <c r="U24" s="2"/>
      <c r="V24" s="2"/>
      <c r="W24" s="2"/>
      <c r="X24" s="2"/>
      <c r="Y24" s="2"/>
      <c r="Z24" s="2"/>
    </row>
    <row r="25" ht="15.75" customHeight="1">
      <c r="A25" s="3">
        <v>46190.0</v>
      </c>
      <c r="B25" s="4" t="str">
        <f t="shared" si="1"/>
        <v>Sem 4</v>
      </c>
      <c r="C25" s="4" t="str">
        <f t="shared" si="2"/>
        <v>Miércoles</v>
      </c>
      <c r="D25" s="11"/>
      <c r="E25" s="11"/>
      <c r="F25" s="11"/>
      <c r="G25" s="6" t="str">
        <f t="shared" si="3"/>
        <v/>
      </c>
      <c r="H25" s="11"/>
      <c r="I25" s="6" t="str">
        <f t="shared" si="4"/>
        <v/>
      </c>
      <c r="J25" s="11"/>
      <c r="K25" s="6" t="str">
        <f t="shared" si="5"/>
        <v/>
      </c>
      <c r="L25" s="11"/>
      <c r="M25" s="6" t="str">
        <f t="shared" si="6"/>
        <v/>
      </c>
      <c r="N25" s="11"/>
      <c r="O25" s="6" t="str">
        <f t="shared" si="7"/>
        <v/>
      </c>
      <c r="P25" s="12"/>
      <c r="Q25" s="8" t="str">
        <f>IF(P25="","",P25*'Config  Metas'!$B$10)</f>
        <v/>
      </c>
      <c r="R25" s="4" t="str">
        <f>IF(COUNTA(D25,E25,F25,H25,J25,L25,N25,P25)=0,"",IF(AND(D25&gt;0,E25/D25&lt;'Config  Metas'!$B$8),"🚨 COBERTURA DE LLAMADOS BAJA",IF(G25&lt;'Config  Metas'!$B$2,"🚨 CONTACTO BAJO",IF(I25&lt;'Config  Metas'!$B$3,"🚨 AGENDAMIENTO BAJO",IF(K25&lt;'Config  Metas'!$B$4,"⚠️ SHOW BAJO",IF(M25&lt;'Config  Metas'!$B$5,"🚨 RESERVA BAJA",IF(O25&lt;'Config  Metas'!$B$6,"🚨 CIERRE BAJO",IF(P25&lt;D25*'Config  Metas'!$B$15*'Config  Metas'!$B$9,"🔻 UF BAJO RITMO DINÁMICO","✅ DÍA SOBRE RITMO"))))))))</f>
        <v/>
      </c>
      <c r="S25" s="10"/>
      <c r="T25" s="10"/>
      <c r="U25" s="2"/>
      <c r="V25" s="2"/>
      <c r="W25" s="2"/>
      <c r="X25" s="2"/>
      <c r="Y25" s="2"/>
      <c r="Z25" s="2"/>
    </row>
    <row r="26" ht="15.75" customHeight="1">
      <c r="A26" s="3">
        <v>46191.0</v>
      </c>
      <c r="B26" s="4" t="str">
        <f t="shared" si="1"/>
        <v>Sem 4</v>
      </c>
      <c r="C26" s="4" t="str">
        <f t="shared" si="2"/>
        <v>Jueves</v>
      </c>
      <c r="D26" s="11"/>
      <c r="E26" s="11"/>
      <c r="F26" s="11"/>
      <c r="G26" s="6" t="str">
        <f t="shared" si="3"/>
        <v/>
      </c>
      <c r="H26" s="11"/>
      <c r="I26" s="6" t="str">
        <f t="shared" si="4"/>
        <v/>
      </c>
      <c r="J26" s="11"/>
      <c r="K26" s="6" t="str">
        <f t="shared" si="5"/>
        <v/>
      </c>
      <c r="L26" s="11"/>
      <c r="M26" s="6" t="str">
        <f t="shared" si="6"/>
        <v/>
      </c>
      <c r="N26" s="11"/>
      <c r="O26" s="6" t="str">
        <f t="shared" si="7"/>
        <v/>
      </c>
      <c r="P26" s="12"/>
      <c r="Q26" s="8" t="str">
        <f>IF(P26="","",P26*'Config  Metas'!$B$10)</f>
        <v/>
      </c>
      <c r="R26" s="4" t="str">
        <f>IF(COUNTA(D26,E26,F26,H26,J26,L26,N26,P26)=0,"",IF(AND(D26&gt;0,E26/D26&lt;'Config  Metas'!$B$8),"🚨 COBERTURA DE LLAMADOS BAJA",IF(G26&lt;'Config  Metas'!$B$2,"🚨 CONTACTO BAJO",IF(I26&lt;'Config  Metas'!$B$3,"🚨 AGENDAMIENTO BAJO",IF(K26&lt;'Config  Metas'!$B$4,"⚠️ SHOW BAJO",IF(M26&lt;'Config  Metas'!$B$5,"🚨 RESERVA BAJA",IF(O26&lt;'Config  Metas'!$B$6,"🚨 CIERRE BAJO",IF(P26&lt;D26*'Config  Metas'!$B$15*'Config  Metas'!$B$9,"🔻 UF BAJO RITMO DINÁMICO","✅ DÍA SOBRE RITMO"))))))))</f>
        <v/>
      </c>
      <c r="S26" s="10"/>
      <c r="T26" s="10"/>
      <c r="U26" s="2"/>
      <c r="V26" s="2"/>
      <c r="W26" s="2"/>
      <c r="X26" s="2"/>
      <c r="Y26" s="2"/>
      <c r="Z26" s="2"/>
    </row>
    <row r="27" ht="15.75" customHeight="1">
      <c r="A27" s="3">
        <v>46192.0</v>
      </c>
      <c r="B27" s="4" t="str">
        <f t="shared" si="1"/>
        <v>Sem 4</v>
      </c>
      <c r="C27" s="4" t="str">
        <f t="shared" si="2"/>
        <v>Viernes</v>
      </c>
      <c r="D27" s="11"/>
      <c r="E27" s="11"/>
      <c r="F27" s="11"/>
      <c r="G27" s="6" t="str">
        <f t="shared" si="3"/>
        <v/>
      </c>
      <c r="H27" s="11"/>
      <c r="I27" s="6" t="str">
        <f t="shared" si="4"/>
        <v/>
      </c>
      <c r="J27" s="11"/>
      <c r="K27" s="6" t="str">
        <f t="shared" si="5"/>
        <v/>
      </c>
      <c r="L27" s="11"/>
      <c r="M27" s="6" t="str">
        <f t="shared" si="6"/>
        <v/>
      </c>
      <c r="N27" s="11"/>
      <c r="O27" s="6" t="str">
        <f t="shared" si="7"/>
        <v/>
      </c>
      <c r="P27" s="12"/>
      <c r="Q27" s="8" t="str">
        <f>IF(P27="","",P27*'Config  Metas'!$B$10)</f>
        <v/>
      </c>
      <c r="R27" s="4" t="str">
        <f>IF(COUNTA(D27,E27,F27,H27,J27,L27,N27,P27)=0,"",IF(AND(D27&gt;0,E27/D27&lt;'Config  Metas'!$B$8),"🚨 COBERTURA DE LLAMADOS BAJA",IF(G27&lt;'Config  Metas'!$B$2,"🚨 CONTACTO BAJO",IF(I27&lt;'Config  Metas'!$B$3,"🚨 AGENDAMIENTO BAJO",IF(K27&lt;'Config  Metas'!$B$4,"⚠️ SHOW BAJO",IF(M27&lt;'Config  Metas'!$B$5,"🚨 RESERVA BAJA",IF(O27&lt;'Config  Metas'!$B$6,"🚨 CIERRE BAJO",IF(P27&lt;D27*'Config  Metas'!$B$15*'Config  Metas'!$B$9,"🔻 UF BAJO RITMO DINÁMICO","✅ DÍA SOBRE RITMO"))))))))</f>
        <v/>
      </c>
      <c r="S27" s="10"/>
      <c r="T27" s="10"/>
      <c r="U27" s="2"/>
      <c r="V27" s="2"/>
      <c r="W27" s="2"/>
      <c r="X27" s="2"/>
      <c r="Y27" s="2"/>
      <c r="Z27" s="2"/>
    </row>
    <row r="28" ht="15.75" customHeight="1">
      <c r="A28" s="3">
        <v>46193.0</v>
      </c>
      <c r="B28" s="4" t="str">
        <f t="shared" si="1"/>
        <v>Sem 4</v>
      </c>
      <c r="C28" s="4" t="str">
        <f t="shared" si="2"/>
        <v>Sábado</v>
      </c>
      <c r="D28" s="11"/>
      <c r="E28" s="11"/>
      <c r="F28" s="11"/>
      <c r="G28" s="6" t="str">
        <f t="shared" si="3"/>
        <v/>
      </c>
      <c r="H28" s="11"/>
      <c r="I28" s="6" t="str">
        <f t="shared" si="4"/>
        <v/>
      </c>
      <c r="J28" s="11"/>
      <c r="K28" s="6" t="str">
        <f t="shared" si="5"/>
        <v/>
      </c>
      <c r="L28" s="11"/>
      <c r="M28" s="6" t="str">
        <f t="shared" si="6"/>
        <v/>
      </c>
      <c r="N28" s="11"/>
      <c r="O28" s="6" t="str">
        <f t="shared" si="7"/>
        <v/>
      </c>
      <c r="P28" s="12"/>
      <c r="Q28" s="8" t="str">
        <f>IF(P28="","",P28*'Config  Metas'!$B$10)</f>
        <v/>
      </c>
      <c r="R28" s="4" t="str">
        <f>IF(COUNTA(D28,E28,F28,H28,J28,L28,N28,P28)=0,"",IF(AND(D28&gt;0,E28/D28&lt;'Config  Metas'!$B$8),"🚨 COBERTURA DE LLAMADOS BAJA",IF(G28&lt;'Config  Metas'!$B$2,"🚨 CONTACTO BAJO",IF(I28&lt;'Config  Metas'!$B$3,"🚨 AGENDAMIENTO BAJO",IF(K28&lt;'Config  Metas'!$B$4,"⚠️ SHOW BAJO",IF(M28&lt;'Config  Metas'!$B$5,"🚨 RESERVA BAJA",IF(O28&lt;'Config  Metas'!$B$6,"🚨 CIERRE BAJO",IF(P28&lt;D28*'Config  Metas'!$B$15*'Config  Metas'!$B$9,"🔻 UF BAJO RITMO DINÁMICO","✅ DÍA SOBRE RITMO"))))))))</f>
        <v/>
      </c>
      <c r="S28" s="10"/>
      <c r="T28" s="10"/>
      <c r="U28" s="2"/>
      <c r="V28" s="2"/>
      <c r="W28" s="2"/>
      <c r="X28" s="2"/>
      <c r="Y28" s="2"/>
      <c r="Z28" s="2"/>
    </row>
    <row r="29" ht="15.75" customHeight="1">
      <c r="A29" s="3">
        <v>46194.0</v>
      </c>
      <c r="B29" s="4" t="str">
        <f t="shared" si="1"/>
        <v>Sem 4</v>
      </c>
      <c r="C29" s="4" t="str">
        <f t="shared" si="2"/>
        <v>Domingo</v>
      </c>
      <c r="D29" s="11"/>
      <c r="E29" s="11"/>
      <c r="F29" s="11"/>
      <c r="G29" s="6" t="str">
        <f t="shared" si="3"/>
        <v/>
      </c>
      <c r="H29" s="11"/>
      <c r="I29" s="6" t="str">
        <f t="shared" si="4"/>
        <v/>
      </c>
      <c r="J29" s="11"/>
      <c r="K29" s="6" t="str">
        <f t="shared" si="5"/>
        <v/>
      </c>
      <c r="L29" s="11"/>
      <c r="M29" s="6" t="str">
        <f t="shared" si="6"/>
        <v/>
      </c>
      <c r="N29" s="11"/>
      <c r="O29" s="6" t="str">
        <f t="shared" si="7"/>
        <v/>
      </c>
      <c r="P29" s="12"/>
      <c r="Q29" s="8" t="str">
        <f>IF(P29="","",P29*'Config  Metas'!$B$10)</f>
        <v/>
      </c>
      <c r="R29" s="4" t="str">
        <f>IF(COUNTA(D29,E29,F29,H29,J29,L29,N29,P29)=0,"",IF(AND(D29&gt;0,E29/D29&lt;'Config  Metas'!$B$8),"🚨 COBERTURA DE LLAMADOS BAJA",IF(G29&lt;'Config  Metas'!$B$2,"🚨 CONTACTO BAJO",IF(I29&lt;'Config  Metas'!$B$3,"🚨 AGENDAMIENTO BAJO",IF(K29&lt;'Config  Metas'!$B$4,"⚠️ SHOW BAJO",IF(M29&lt;'Config  Metas'!$B$5,"🚨 RESERVA BAJA",IF(O29&lt;'Config  Metas'!$B$6,"🚨 CIERRE BAJO",IF(P29&lt;D29*'Config  Metas'!$B$15*'Config  Metas'!$B$9,"🔻 UF BAJO RITMO DINÁMICO","✅ DÍA SOBRE RITMO"))))))))</f>
        <v/>
      </c>
      <c r="S29" s="10"/>
      <c r="T29" s="10"/>
      <c r="U29" s="2"/>
      <c r="V29" s="2"/>
      <c r="W29" s="2"/>
      <c r="X29" s="2"/>
      <c r="Y29" s="2"/>
      <c r="Z29" s="2"/>
    </row>
    <row r="30" ht="15.75" customHeight="1">
      <c r="A30" s="3">
        <v>46195.0</v>
      </c>
      <c r="B30" s="4" t="str">
        <f t="shared" si="1"/>
        <v>Sem 5</v>
      </c>
      <c r="C30" s="4" t="str">
        <f t="shared" si="2"/>
        <v>Lunes</v>
      </c>
      <c r="D30" s="11"/>
      <c r="E30" s="11"/>
      <c r="F30" s="11"/>
      <c r="G30" s="6" t="str">
        <f t="shared" si="3"/>
        <v/>
      </c>
      <c r="H30" s="11"/>
      <c r="I30" s="6" t="str">
        <f t="shared" si="4"/>
        <v/>
      </c>
      <c r="J30" s="11"/>
      <c r="K30" s="6" t="str">
        <f t="shared" si="5"/>
        <v/>
      </c>
      <c r="L30" s="11"/>
      <c r="M30" s="6" t="str">
        <f t="shared" si="6"/>
        <v/>
      </c>
      <c r="N30" s="11"/>
      <c r="O30" s="6" t="str">
        <f t="shared" si="7"/>
        <v/>
      </c>
      <c r="P30" s="12"/>
      <c r="Q30" s="8" t="str">
        <f>IF(P30="","",P30*'Config  Metas'!$B$10)</f>
        <v/>
      </c>
      <c r="R30" s="4" t="str">
        <f>IF(COUNTA(D30,E30,F30,H30,J30,L30,N30,P30)=0,"",IF(AND(D30&gt;0,E30/D30&lt;'Config  Metas'!$B$8),"🚨 COBERTURA DE LLAMADOS BAJA",IF(G30&lt;'Config  Metas'!$B$2,"🚨 CONTACTO BAJO",IF(I30&lt;'Config  Metas'!$B$3,"🚨 AGENDAMIENTO BAJO",IF(K30&lt;'Config  Metas'!$B$4,"⚠️ SHOW BAJO",IF(M30&lt;'Config  Metas'!$B$5,"🚨 RESERVA BAJA",IF(O30&lt;'Config  Metas'!$B$6,"🚨 CIERRE BAJO",IF(P30&lt;D30*'Config  Metas'!$B$15*'Config  Metas'!$B$9,"🔻 UF BAJO RITMO DINÁMICO","✅ DÍA SOBRE RITMO"))))))))</f>
        <v/>
      </c>
      <c r="S30" s="10"/>
      <c r="T30" s="10"/>
      <c r="U30" s="2"/>
      <c r="V30" s="2"/>
      <c r="W30" s="2"/>
      <c r="X30" s="2"/>
      <c r="Y30" s="2"/>
      <c r="Z30" s="2"/>
    </row>
    <row r="31" ht="15.75" customHeight="1">
      <c r="A31" s="3">
        <v>46196.0</v>
      </c>
      <c r="B31" s="4" t="str">
        <f t="shared" si="1"/>
        <v>Sem 5</v>
      </c>
      <c r="C31" s="4" t="str">
        <f t="shared" si="2"/>
        <v>Martes</v>
      </c>
      <c r="D31" s="11"/>
      <c r="E31" s="11"/>
      <c r="F31" s="11"/>
      <c r="G31" s="6" t="str">
        <f t="shared" si="3"/>
        <v/>
      </c>
      <c r="H31" s="11"/>
      <c r="I31" s="6" t="str">
        <f t="shared" si="4"/>
        <v/>
      </c>
      <c r="J31" s="11"/>
      <c r="K31" s="6" t="str">
        <f t="shared" si="5"/>
        <v/>
      </c>
      <c r="L31" s="11"/>
      <c r="M31" s="6" t="str">
        <f t="shared" si="6"/>
        <v/>
      </c>
      <c r="N31" s="11"/>
      <c r="O31" s="6" t="str">
        <f t="shared" si="7"/>
        <v/>
      </c>
      <c r="P31" s="12"/>
      <c r="Q31" s="8" t="str">
        <f>IF(P31="","",P31*'Config  Metas'!$B$10)</f>
        <v/>
      </c>
      <c r="R31" s="4" t="str">
        <f>IF(COUNTA(D31,E31,F31,H31,J31,L31,N31,P31)=0,"",IF(AND(D31&gt;0,E31/D31&lt;'Config  Metas'!$B$8),"🚨 COBERTURA DE LLAMADOS BAJA",IF(G31&lt;'Config  Metas'!$B$2,"🚨 CONTACTO BAJO",IF(I31&lt;'Config  Metas'!$B$3,"🚨 AGENDAMIENTO BAJO",IF(K31&lt;'Config  Metas'!$B$4,"⚠️ SHOW BAJO",IF(M31&lt;'Config  Metas'!$B$5,"🚨 RESERVA BAJA",IF(O31&lt;'Config  Metas'!$B$6,"🚨 CIERRE BAJO",IF(P31&lt;D31*'Config  Metas'!$B$15*'Config  Metas'!$B$9,"🔻 UF BAJO RITMO DINÁMICO","✅ DÍA SOBRE RITMO"))))))))</f>
        <v/>
      </c>
      <c r="S31" s="10"/>
      <c r="T31" s="10"/>
      <c r="U31" s="2"/>
      <c r="V31" s="2"/>
      <c r="W31" s="2"/>
      <c r="X31" s="2"/>
      <c r="Y31" s="2"/>
      <c r="Z31" s="2"/>
    </row>
    <row r="32" ht="15.75" customHeight="1">
      <c r="A32" s="3">
        <v>46197.0</v>
      </c>
      <c r="B32" s="4" t="str">
        <f t="shared" si="1"/>
        <v>Sem 5</v>
      </c>
      <c r="C32" s="4" t="str">
        <f t="shared" si="2"/>
        <v>Miércoles</v>
      </c>
      <c r="D32" s="11"/>
      <c r="E32" s="11"/>
      <c r="F32" s="11"/>
      <c r="G32" s="6" t="str">
        <f t="shared" si="3"/>
        <v/>
      </c>
      <c r="H32" s="11"/>
      <c r="I32" s="6" t="str">
        <f t="shared" si="4"/>
        <v/>
      </c>
      <c r="J32" s="11"/>
      <c r="K32" s="6" t="str">
        <f t="shared" si="5"/>
        <v/>
      </c>
      <c r="L32" s="11"/>
      <c r="M32" s="6" t="str">
        <f t="shared" si="6"/>
        <v/>
      </c>
      <c r="N32" s="11"/>
      <c r="O32" s="6" t="str">
        <f t="shared" si="7"/>
        <v/>
      </c>
      <c r="P32" s="12"/>
      <c r="Q32" s="8" t="str">
        <f>IF(P32="","",P32*'Config  Metas'!$B$10)</f>
        <v/>
      </c>
      <c r="R32" s="4" t="str">
        <f>IF(COUNTA(D32,E32,F32,H32,J32,L32,N32,P32)=0,"",IF(AND(D32&gt;0,E32/D32&lt;'Config  Metas'!$B$8),"🚨 COBERTURA DE LLAMADOS BAJA",IF(G32&lt;'Config  Metas'!$B$2,"🚨 CONTACTO BAJO",IF(I32&lt;'Config  Metas'!$B$3,"🚨 AGENDAMIENTO BAJO",IF(K32&lt;'Config  Metas'!$B$4,"⚠️ SHOW BAJO",IF(M32&lt;'Config  Metas'!$B$5,"🚨 RESERVA BAJA",IF(O32&lt;'Config  Metas'!$B$6,"🚨 CIERRE BAJO",IF(P32&lt;D32*'Config  Metas'!$B$15*'Config  Metas'!$B$9,"🔻 UF BAJO RITMO DINÁMICO","✅ DÍA SOBRE RITMO"))))))))</f>
        <v/>
      </c>
      <c r="S32" s="10"/>
      <c r="T32" s="10"/>
      <c r="U32" s="2"/>
      <c r="V32" s="2"/>
      <c r="W32" s="2"/>
      <c r="X32" s="2"/>
      <c r="Y32" s="2"/>
      <c r="Z32" s="2"/>
    </row>
    <row r="33" ht="15.75" customHeight="1">
      <c r="A33" s="3">
        <v>46198.0</v>
      </c>
      <c r="B33" s="4" t="str">
        <f t="shared" si="1"/>
        <v>Sem 5</v>
      </c>
      <c r="C33" s="4" t="str">
        <f t="shared" si="2"/>
        <v>Jueves</v>
      </c>
      <c r="D33" s="11"/>
      <c r="E33" s="11"/>
      <c r="F33" s="11"/>
      <c r="G33" s="6" t="str">
        <f t="shared" si="3"/>
        <v/>
      </c>
      <c r="H33" s="11"/>
      <c r="I33" s="6" t="str">
        <f t="shared" si="4"/>
        <v/>
      </c>
      <c r="J33" s="11"/>
      <c r="K33" s="6" t="str">
        <f t="shared" si="5"/>
        <v/>
      </c>
      <c r="L33" s="11"/>
      <c r="M33" s="6" t="str">
        <f t="shared" si="6"/>
        <v/>
      </c>
      <c r="N33" s="11"/>
      <c r="O33" s="6" t="str">
        <f t="shared" si="7"/>
        <v/>
      </c>
      <c r="P33" s="12"/>
      <c r="Q33" s="8" t="str">
        <f>IF(P33="","",P33*'Config  Metas'!$B$10)</f>
        <v/>
      </c>
      <c r="R33" s="4" t="str">
        <f>IF(COUNTA(D33,E33,F33,H33,J33,L33,N33,P33)=0,"",IF(AND(D33&gt;0,E33/D33&lt;'Config  Metas'!$B$8),"🚨 COBERTURA DE LLAMADOS BAJA",IF(G33&lt;'Config  Metas'!$B$2,"🚨 CONTACTO BAJO",IF(I33&lt;'Config  Metas'!$B$3,"🚨 AGENDAMIENTO BAJO",IF(K33&lt;'Config  Metas'!$B$4,"⚠️ SHOW BAJO",IF(M33&lt;'Config  Metas'!$B$5,"🚨 RESERVA BAJA",IF(O33&lt;'Config  Metas'!$B$6,"🚨 CIERRE BAJO",IF(P33&lt;D33*'Config  Metas'!$B$15*'Config  Metas'!$B$9,"🔻 UF BAJO RITMO DINÁMICO","✅ DÍA SOBRE RITMO"))))))))</f>
        <v/>
      </c>
      <c r="S33" s="10"/>
      <c r="T33" s="10"/>
      <c r="U33" s="2"/>
      <c r="V33" s="2"/>
      <c r="W33" s="2"/>
      <c r="X33" s="2"/>
      <c r="Y33" s="2"/>
      <c r="Z33" s="2"/>
    </row>
    <row r="34" ht="15.75" customHeight="1">
      <c r="A34" s="3">
        <v>46199.0</v>
      </c>
      <c r="B34" s="4" t="str">
        <f t="shared" si="1"/>
        <v>Sem 5</v>
      </c>
      <c r="C34" s="4" t="str">
        <f t="shared" si="2"/>
        <v>Viernes</v>
      </c>
      <c r="D34" s="11"/>
      <c r="E34" s="11"/>
      <c r="F34" s="11"/>
      <c r="G34" s="6" t="str">
        <f t="shared" si="3"/>
        <v/>
      </c>
      <c r="H34" s="11"/>
      <c r="I34" s="6" t="str">
        <f t="shared" si="4"/>
        <v/>
      </c>
      <c r="J34" s="11"/>
      <c r="K34" s="6" t="str">
        <f t="shared" si="5"/>
        <v/>
      </c>
      <c r="L34" s="11"/>
      <c r="M34" s="6" t="str">
        <f t="shared" si="6"/>
        <v/>
      </c>
      <c r="N34" s="11"/>
      <c r="O34" s="6" t="str">
        <f t="shared" si="7"/>
        <v/>
      </c>
      <c r="P34" s="12"/>
      <c r="Q34" s="8" t="str">
        <f>IF(P34="","",P34*'Config  Metas'!$B$10)</f>
        <v/>
      </c>
      <c r="R34" s="4" t="str">
        <f>IF(COUNTA(D34,E34,F34,H34,J34,L34,N34,P34)=0,"",IF(AND(D34&gt;0,E34/D34&lt;'Config  Metas'!$B$8),"🚨 COBERTURA DE LLAMADOS BAJA",IF(G34&lt;'Config  Metas'!$B$2,"🚨 CONTACTO BAJO",IF(I34&lt;'Config  Metas'!$B$3,"🚨 AGENDAMIENTO BAJO",IF(K34&lt;'Config  Metas'!$B$4,"⚠️ SHOW BAJO",IF(M34&lt;'Config  Metas'!$B$5,"🚨 RESERVA BAJA",IF(O34&lt;'Config  Metas'!$B$6,"🚨 CIERRE BAJO",IF(P34&lt;D34*'Config  Metas'!$B$15*'Config  Metas'!$B$9,"🔻 UF BAJO RITMO DINÁMICO","✅ DÍA SOBRE RITMO"))))))))</f>
        <v/>
      </c>
      <c r="S34" s="10"/>
      <c r="T34" s="10"/>
      <c r="U34" s="2"/>
      <c r="V34" s="2"/>
      <c r="W34" s="2"/>
      <c r="X34" s="2"/>
      <c r="Y34" s="2"/>
      <c r="Z34" s="2"/>
    </row>
    <row r="35" ht="15.75" customHeight="1">
      <c r="A35" s="3">
        <v>46200.0</v>
      </c>
      <c r="B35" s="4" t="str">
        <f t="shared" si="1"/>
        <v>Sem 5</v>
      </c>
      <c r="C35" s="4" t="str">
        <f t="shared" si="2"/>
        <v>Sábado</v>
      </c>
      <c r="D35" s="11"/>
      <c r="E35" s="11"/>
      <c r="F35" s="11"/>
      <c r="G35" s="6" t="str">
        <f t="shared" si="3"/>
        <v/>
      </c>
      <c r="H35" s="11"/>
      <c r="I35" s="6" t="str">
        <f t="shared" si="4"/>
        <v/>
      </c>
      <c r="J35" s="11"/>
      <c r="K35" s="6" t="str">
        <f t="shared" si="5"/>
        <v/>
      </c>
      <c r="L35" s="11"/>
      <c r="M35" s="6" t="str">
        <f t="shared" si="6"/>
        <v/>
      </c>
      <c r="N35" s="11"/>
      <c r="O35" s="6" t="str">
        <f t="shared" si="7"/>
        <v/>
      </c>
      <c r="P35" s="12"/>
      <c r="Q35" s="8" t="str">
        <f>IF(P35="","",P35*'Config  Metas'!$B$10)</f>
        <v/>
      </c>
      <c r="R35" s="4" t="str">
        <f>IF(COUNTA(D35,E35,F35,H35,J35,L35,N35,P35)=0,"",IF(AND(D35&gt;0,E35/D35&lt;'Config  Metas'!$B$8),"🚨 COBERTURA DE LLAMADOS BAJA",IF(G35&lt;'Config  Metas'!$B$2,"🚨 CONTACTO BAJO",IF(I35&lt;'Config  Metas'!$B$3,"🚨 AGENDAMIENTO BAJO",IF(K35&lt;'Config  Metas'!$B$4,"⚠️ SHOW BAJO",IF(M35&lt;'Config  Metas'!$B$5,"🚨 RESERVA BAJA",IF(O35&lt;'Config  Metas'!$B$6,"🚨 CIERRE BAJO",IF(P35&lt;D35*'Config  Metas'!$B$15*'Config  Metas'!$B$9,"🔻 UF BAJO RITMO DINÁMICO","✅ DÍA SOBRE RITMO"))))))))</f>
        <v/>
      </c>
      <c r="S35" s="10"/>
      <c r="T35" s="10"/>
      <c r="U35" s="2"/>
      <c r="V35" s="2"/>
      <c r="W35" s="2"/>
      <c r="X35" s="2"/>
      <c r="Y35" s="2"/>
      <c r="Z35" s="2"/>
    </row>
    <row r="36" ht="15.75" customHeight="1">
      <c r="A36" s="3">
        <v>46201.0</v>
      </c>
      <c r="B36" s="4" t="str">
        <f t="shared" si="1"/>
        <v>Sem 5</v>
      </c>
      <c r="C36" s="4" t="str">
        <f t="shared" si="2"/>
        <v>Domingo</v>
      </c>
      <c r="D36" s="11"/>
      <c r="E36" s="11"/>
      <c r="F36" s="11"/>
      <c r="G36" s="6" t="str">
        <f t="shared" si="3"/>
        <v/>
      </c>
      <c r="H36" s="11"/>
      <c r="I36" s="6" t="str">
        <f t="shared" si="4"/>
        <v/>
      </c>
      <c r="J36" s="11"/>
      <c r="K36" s="6" t="str">
        <f t="shared" si="5"/>
        <v/>
      </c>
      <c r="L36" s="11"/>
      <c r="M36" s="6" t="str">
        <f t="shared" si="6"/>
        <v/>
      </c>
      <c r="N36" s="11"/>
      <c r="O36" s="6" t="str">
        <f t="shared" si="7"/>
        <v/>
      </c>
      <c r="P36" s="12"/>
      <c r="Q36" s="8" t="str">
        <f>IF(P36="","",P36*'Config  Metas'!$B$10)</f>
        <v/>
      </c>
      <c r="R36" s="4" t="str">
        <f>IF(COUNTA(D36,E36,F36,H36,J36,L36,N36,P36)=0,"",IF(AND(D36&gt;0,E36/D36&lt;'Config  Metas'!$B$8),"🚨 COBERTURA DE LLAMADOS BAJA",IF(G36&lt;'Config  Metas'!$B$2,"🚨 CONTACTO BAJO",IF(I36&lt;'Config  Metas'!$B$3,"🚨 AGENDAMIENTO BAJO",IF(K36&lt;'Config  Metas'!$B$4,"⚠️ SHOW BAJO",IF(M36&lt;'Config  Metas'!$B$5,"🚨 RESERVA BAJA",IF(O36&lt;'Config  Metas'!$B$6,"🚨 CIERRE BAJO",IF(P36&lt;D36*'Config  Metas'!$B$15*'Config  Metas'!$B$9,"🔻 UF BAJO RITMO DINÁMICO","✅ DÍA SOBRE RITMO"))))))))</f>
        <v/>
      </c>
      <c r="S36" s="10"/>
      <c r="T36" s="10"/>
      <c r="U36" s="2"/>
      <c r="V36" s="2"/>
      <c r="W36" s="2"/>
      <c r="X36" s="2"/>
      <c r="Y36" s="2"/>
      <c r="Z36" s="2"/>
    </row>
    <row r="37" ht="15.75" customHeight="1">
      <c r="A37" s="3">
        <v>46202.0</v>
      </c>
      <c r="B37" s="4" t="str">
        <f t="shared" si="1"/>
        <v>Sem 6</v>
      </c>
      <c r="C37" s="4" t="str">
        <f t="shared" si="2"/>
        <v>Lunes</v>
      </c>
      <c r="D37" s="11"/>
      <c r="E37" s="11"/>
      <c r="F37" s="11"/>
      <c r="G37" s="6" t="str">
        <f t="shared" si="3"/>
        <v/>
      </c>
      <c r="H37" s="11"/>
      <c r="I37" s="6" t="str">
        <f t="shared" si="4"/>
        <v/>
      </c>
      <c r="J37" s="11"/>
      <c r="K37" s="6" t="str">
        <f t="shared" si="5"/>
        <v/>
      </c>
      <c r="L37" s="11"/>
      <c r="M37" s="6" t="str">
        <f t="shared" si="6"/>
        <v/>
      </c>
      <c r="N37" s="11"/>
      <c r="O37" s="6" t="str">
        <f t="shared" si="7"/>
        <v/>
      </c>
      <c r="P37" s="12"/>
      <c r="Q37" s="8" t="str">
        <f>IF(P37="","",P37*'Config  Metas'!$B$10)</f>
        <v/>
      </c>
      <c r="R37" s="4" t="str">
        <f>IF(COUNTA(D37,E37,F37,H37,J37,L37,N37,P37)=0,"",IF(AND(D37&gt;0,E37/D37&lt;'Config  Metas'!$B$8),"🚨 COBERTURA DE LLAMADOS BAJA",IF(G37&lt;'Config  Metas'!$B$2,"🚨 CONTACTO BAJO",IF(I37&lt;'Config  Metas'!$B$3,"🚨 AGENDAMIENTO BAJO",IF(K37&lt;'Config  Metas'!$B$4,"⚠️ SHOW BAJO",IF(M37&lt;'Config  Metas'!$B$5,"🚨 RESERVA BAJA",IF(O37&lt;'Config  Metas'!$B$6,"🚨 CIERRE BAJO",IF(P37&lt;D37*'Config  Metas'!$B$15*'Config  Metas'!$B$9,"🔻 UF BAJO RITMO DINÁMICO","✅ DÍA SOBRE RITMO"))))))))</f>
        <v/>
      </c>
      <c r="S37" s="10"/>
      <c r="T37" s="10"/>
      <c r="U37" s="2"/>
      <c r="V37" s="2"/>
      <c r="W37" s="2"/>
      <c r="X37" s="2"/>
      <c r="Y37" s="2"/>
      <c r="Z37" s="2"/>
    </row>
    <row r="38" ht="15.75" customHeight="1">
      <c r="A38" s="3">
        <v>46203.0</v>
      </c>
      <c r="B38" s="4" t="str">
        <f t="shared" si="1"/>
        <v>Sem 6</v>
      </c>
      <c r="C38" s="4" t="str">
        <f t="shared" si="2"/>
        <v>Martes</v>
      </c>
      <c r="D38" s="11"/>
      <c r="E38" s="11"/>
      <c r="F38" s="11"/>
      <c r="G38" s="6" t="str">
        <f t="shared" si="3"/>
        <v/>
      </c>
      <c r="H38" s="11"/>
      <c r="I38" s="6" t="str">
        <f t="shared" si="4"/>
        <v/>
      </c>
      <c r="J38" s="11"/>
      <c r="K38" s="6" t="str">
        <f t="shared" si="5"/>
        <v/>
      </c>
      <c r="L38" s="11"/>
      <c r="M38" s="6" t="str">
        <f t="shared" si="6"/>
        <v/>
      </c>
      <c r="N38" s="11"/>
      <c r="O38" s="6" t="str">
        <f t="shared" si="7"/>
        <v/>
      </c>
      <c r="P38" s="12"/>
      <c r="Q38" s="8" t="str">
        <f>IF(P38="","",P38*'Config  Metas'!$B$10)</f>
        <v/>
      </c>
      <c r="R38" s="4" t="str">
        <f>IF(COUNTA(D38,E38,F38,H38,J38,L38,N38,P38)=0,"",IF(AND(D38&gt;0,E38/D38&lt;'Config  Metas'!$B$8),"🚨 COBERTURA DE LLAMADOS BAJA",IF(G38&lt;'Config  Metas'!$B$2,"🚨 CONTACTO BAJO",IF(I38&lt;'Config  Metas'!$B$3,"🚨 AGENDAMIENTO BAJO",IF(K38&lt;'Config  Metas'!$B$4,"⚠️ SHOW BAJO",IF(M38&lt;'Config  Metas'!$B$5,"🚨 RESERVA BAJA",IF(O38&lt;'Config  Metas'!$B$6,"🚨 CIERRE BAJO",IF(P38&lt;D38*'Config  Metas'!$B$15*'Config  Metas'!$B$9,"🔻 UF BAJO RITMO DINÁMICO","✅ DÍA SOBRE RITMO"))))))))</f>
        <v/>
      </c>
      <c r="S38" s="10"/>
      <c r="T38" s="10"/>
      <c r="U38" s="2"/>
      <c r="V38" s="2"/>
      <c r="W38" s="2"/>
      <c r="X38" s="2"/>
      <c r="Y38" s="2"/>
      <c r="Z38" s="2"/>
    </row>
    <row r="39" ht="15.75" customHeight="1">
      <c r="A39" s="3">
        <v>46204.0</v>
      </c>
      <c r="B39" s="4" t="str">
        <f t="shared" si="1"/>
        <v>Sem 6</v>
      </c>
      <c r="C39" s="4" t="str">
        <f t="shared" si="2"/>
        <v>Miércoles</v>
      </c>
      <c r="D39" s="11"/>
      <c r="E39" s="11"/>
      <c r="F39" s="11"/>
      <c r="G39" s="6" t="str">
        <f t="shared" si="3"/>
        <v/>
      </c>
      <c r="H39" s="11"/>
      <c r="I39" s="6" t="str">
        <f t="shared" si="4"/>
        <v/>
      </c>
      <c r="J39" s="11"/>
      <c r="K39" s="6" t="str">
        <f t="shared" si="5"/>
        <v/>
      </c>
      <c r="L39" s="11"/>
      <c r="M39" s="6" t="str">
        <f t="shared" si="6"/>
        <v/>
      </c>
      <c r="N39" s="11"/>
      <c r="O39" s="6" t="str">
        <f t="shared" si="7"/>
        <v/>
      </c>
      <c r="P39" s="12"/>
      <c r="Q39" s="8" t="str">
        <f>IF(P39="","",P39*'Config  Metas'!$B$10)</f>
        <v/>
      </c>
      <c r="R39" s="4" t="str">
        <f>IF(COUNTA(D39,E39,F39,H39,J39,L39,N39,P39)=0,"",IF(AND(D39&gt;0,E39/D39&lt;'Config  Metas'!$B$8),"🚨 COBERTURA DE LLAMADOS BAJA",IF(G39&lt;'Config  Metas'!$B$2,"🚨 CONTACTO BAJO",IF(I39&lt;'Config  Metas'!$B$3,"🚨 AGENDAMIENTO BAJO",IF(K39&lt;'Config  Metas'!$B$4,"⚠️ SHOW BAJO",IF(M39&lt;'Config  Metas'!$B$5,"🚨 RESERVA BAJA",IF(O39&lt;'Config  Metas'!$B$6,"🚨 CIERRE BAJO",IF(P39&lt;D39*'Config  Metas'!$B$15*'Config  Metas'!$B$9,"🔻 UF BAJO RITMO DINÁMICO","✅ DÍA SOBRE RITMO"))))))))</f>
        <v/>
      </c>
      <c r="S39" s="10"/>
      <c r="T39" s="10"/>
      <c r="U39" s="2"/>
      <c r="V39" s="2"/>
      <c r="W39" s="2"/>
      <c r="X39" s="2"/>
      <c r="Y39" s="2"/>
      <c r="Z39" s="2"/>
    </row>
    <row r="40" ht="15.75" customHeight="1">
      <c r="A40" s="3">
        <v>46205.0</v>
      </c>
      <c r="B40" s="4" t="str">
        <f t="shared" si="1"/>
        <v>Sem 6</v>
      </c>
      <c r="C40" s="4" t="str">
        <f t="shared" si="2"/>
        <v>Jueves</v>
      </c>
      <c r="D40" s="11"/>
      <c r="E40" s="11"/>
      <c r="F40" s="11"/>
      <c r="G40" s="6" t="str">
        <f t="shared" si="3"/>
        <v/>
      </c>
      <c r="H40" s="11"/>
      <c r="I40" s="6" t="str">
        <f t="shared" si="4"/>
        <v/>
      </c>
      <c r="J40" s="11"/>
      <c r="K40" s="6" t="str">
        <f t="shared" si="5"/>
        <v/>
      </c>
      <c r="L40" s="11"/>
      <c r="M40" s="6" t="str">
        <f t="shared" si="6"/>
        <v/>
      </c>
      <c r="N40" s="11"/>
      <c r="O40" s="6" t="str">
        <f t="shared" si="7"/>
        <v/>
      </c>
      <c r="P40" s="12"/>
      <c r="Q40" s="8" t="str">
        <f>IF(P40="","",P40*'Config  Metas'!$B$10)</f>
        <v/>
      </c>
      <c r="R40" s="4" t="str">
        <f>IF(COUNTA(D40,E40,F40,H40,J40,L40,N40,P40)=0,"",IF(AND(D40&gt;0,E40/D40&lt;'Config  Metas'!$B$8),"🚨 COBERTURA DE LLAMADOS BAJA",IF(G40&lt;'Config  Metas'!$B$2,"🚨 CONTACTO BAJO",IF(I40&lt;'Config  Metas'!$B$3,"🚨 AGENDAMIENTO BAJO",IF(K40&lt;'Config  Metas'!$B$4,"⚠️ SHOW BAJO",IF(M40&lt;'Config  Metas'!$B$5,"🚨 RESERVA BAJA",IF(O40&lt;'Config  Metas'!$B$6,"🚨 CIERRE BAJO",IF(P40&lt;D40*'Config  Metas'!$B$15*'Config  Metas'!$B$9,"🔻 UF BAJO RITMO DINÁMICO","✅ DÍA SOBRE RITMO"))))))))</f>
        <v/>
      </c>
      <c r="S40" s="10"/>
      <c r="T40" s="10"/>
      <c r="U40" s="2"/>
      <c r="V40" s="2"/>
      <c r="W40" s="2"/>
      <c r="X40" s="2"/>
      <c r="Y40" s="2"/>
      <c r="Z40" s="2"/>
    </row>
    <row r="41" ht="15.75" customHeight="1">
      <c r="A41" s="3">
        <v>46206.0</v>
      </c>
      <c r="B41" s="4" t="str">
        <f t="shared" si="1"/>
        <v>Sem 6</v>
      </c>
      <c r="C41" s="4" t="str">
        <f t="shared" si="2"/>
        <v>Viernes</v>
      </c>
      <c r="D41" s="11"/>
      <c r="E41" s="11"/>
      <c r="F41" s="11"/>
      <c r="G41" s="6" t="str">
        <f t="shared" si="3"/>
        <v/>
      </c>
      <c r="H41" s="11"/>
      <c r="I41" s="6" t="str">
        <f t="shared" si="4"/>
        <v/>
      </c>
      <c r="J41" s="11"/>
      <c r="K41" s="6" t="str">
        <f t="shared" si="5"/>
        <v/>
      </c>
      <c r="L41" s="11"/>
      <c r="M41" s="6" t="str">
        <f t="shared" si="6"/>
        <v/>
      </c>
      <c r="N41" s="11"/>
      <c r="O41" s="6" t="str">
        <f t="shared" si="7"/>
        <v/>
      </c>
      <c r="P41" s="12"/>
      <c r="Q41" s="8" t="str">
        <f>IF(P41="","",P41*'Config  Metas'!$B$10)</f>
        <v/>
      </c>
      <c r="R41" s="4" t="str">
        <f>IF(COUNTA(D41,E41,F41,H41,J41,L41,N41,P41)=0,"",IF(AND(D41&gt;0,E41/D41&lt;'Config  Metas'!$B$8),"🚨 COBERTURA DE LLAMADOS BAJA",IF(G41&lt;'Config  Metas'!$B$2,"🚨 CONTACTO BAJO",IF(I41&lt;'Config  Metas'!$B$3,"🚨 AGENDAMIENTO BAJO",IF(K41&lt;'Config  Metas'!$B$4,"⚠️ SHOW BAJO",IF(M41&lt;'Config  Metas'!$B$5,"🚨 RESERVA BAJA",IF(O41&lt;'Config  Metas'!$B$6,"🚨 CIERRE BAJO",IF(P41&lt;D41*'Config  Metas'!$B$15*'Config  Metas'!$B$9,"🔻 UF BAJO RITMO DINÁMICO","✅ DÍA SOBRE RITMO"))))))))</f>
        <v/>
      </c>
      <c r="S41" s="10"/>
      <c r="T41" s="10"/>
      <c r="U41" s="2"/>
      <c r="V41" s="2"/>
      <c r="W41" s="2"/>
      <c r="X41" s="2"/>
      <c r="Y41" s="2"/>
      <c r="Z41" s="2"/>
    </row>
    <row r="42" ht="15.75" customHeight="1">
      <c r="A42" s="3">
        <v>46207.0</v>
      </c>
      <c r="B42" s="4" t="str">
        <f t="shared" si="1"/>
        <v>Sem 6</v>
      </c>
      <c r="C42" s="4" t="str">
        <f t="shared" si="2"/>
        <v>Sábado</v>
      </c>
      <c r="D42" s="11"/>
      <c r="E42" s="11"/>
      <c r="F42" s="11"/>
      <c r="G42" s="6" t="str">
        <f t="shared" si="3"/>
        <v/>
      </c>
      <c r="H42" s="11"/>
      <c r="I42" s="6" t="str">
        <f t="shared" si="4"/>
        <v/>
      </c>
      <c r="J42" s="11"/>
      <c r="K42" s="6" t="str">
        <f t="shared" si="5"/>
        <v/>
      </c>
      <c r="L42" s="11"/>
      <c r="M42" s="6" t="str">
        <f t="shared" si="6"/>
        <v/>
      </c>
      <c r="N42" s="11"/>
      <c r="O42" s="6" t="str">
        <f t="shared" si="7"/>
        <v/>
      </c>
      <c r="P42" s="12"/>
      <c r="Q42" s="8" t="str">
        <f>IF(P42="","",P42*'Config  Metas'!$B$10)</f>
        <v/>
      </c>
      <c r="R42" s="4" t="str">
        <f>IF(COUNTA(D42,E42,F42,H42,J42,L42,N42,P42)=0,"",IF(AND(D42&gt;0,E42/D42&lt;'Config  Metas'!$B$8),"🚨 COBERTURA DE LLAMADOS BAJA",IF(G42&lt;'Config  Metas'!$B$2,"🚨 CONTACTO BAJO",IF(I42&lt;'Config  Metas'!$B$3,"🚨 AGENDAMIENTO BAJO",IF(K42&lt;'Config  Metas'!$B$4,"⚠️ SHOW BAJO",IF(M42&lt;'Config  Metas'!$B$5,"🚨 RESERVA BAJA",IF(O42&lt;'Config  Metas'!$B$6,"🚨 CIERRE BAJO",IF(P42&lt;D42*'Config  Metas'!$B$15*'Config  Metas'!$B$9,"🔻 UF BAJO RITMO DINÁMICO","✅ DÍA SOBRE RITMO"))))))))</f>
        <v/>
      </c>
      <c r="S42" s="10"/>
      <c r="T42" s="10"/>
      <c r="U42" s="2"/>
      <c r="V42" s="2"/>
      <c r="W42" s="2"/>
      <c r="X42" s="2"/>
      <c r="Y42" s="2"/>
      <c r="Z42" s="2"/>
    </row>
    <row r="43" ht="15.75" customHeight="1">
      <c r="A43" s="3">
        <v>46208.0</v>
      </c>
      <c r="B43" s="4" t="str">
        <f t="shared" si="1"/>
        <v>Sem 6</v>
      </c>
      <c r="C43" s="4" t="str">
        <f t="shared" si="2"/>
        <v>Domingo</v>
      </c>
      <c r="D43" s="11"/>
      <c r="E43" s="11"/>
      <c r="F43" s="11"/>
      <c r="G43" s="6" t="str">
        <f t="shared" si="3"/>
        <v/>
      </c>
      <c r="H43" s="11"/>
      <c r="I43" s="6" t="str">
        <f t="shared" si="4"/>
        <v/>
      </c>
      <c r="J43" s="11"/>
      <c r="K43" s="6" t="str">
        <f t="shared" si="5"/>
        <v/>
      </c>
      <c r="L43" s="11"/>
      <c r="M43" s="6" t="str">
        <f t="shared" si="6"/>
        <v/>
      </c>
      <c r="N43" s="11"/>
      <c r="O43" s="6" t="str">
        <f t="shared" si="7"/>
        <v/>
      </c>
      <c r="P43" s="12"/>
      <c r="Q43" s="8" t="str">
        <f>IF(P43="","",P43*'Config  Metas'!$B$10)</f>
        <v/>
      </c>
      <c r="R43" s="4" t="str">
        <f>IF(COUNTA(D43,E43,F43,H43,J43,L43,N43,P43)=0,"",IF(AND(D43&gt;0,E43/D43&lt;'Config  Metas'!$B$8),"🚨 COBERTURA DE LLAMADOS BAJA",IF(G43&lt;'Config  Metas'!$B$2,"🚨 CONTACTO BAJO",IF(I43&lt;'Config  Metas'!$B$3,"🚨 AGENDAMIENTO BAJO",IF(K43&lt;'Config  Metas'!$B$4,"⚠️ SHOW BAJO",IF(M43&lt;'Config  Metas'!$B$5,"🚨 RESERVA BAJA",IF(O43&lt;'Config  Metas'!$B$6,"🚨 CIERRE BAJO",IF(P43&lt;D43*'Config  Metas'!$B$15*'Config  Metas'!$B$9,"🔻 UF BAJO RITMO DINÁMICO","✅ DÍA SOBRE RITMO"))))))))</f>
        <v/>
      </c>
      <c r="S43" s="10"/>
      <c r="T43" s="10"/>
      <c r="U43" s="2"/>
      <c r="V43" s="2"/>
      <c r="W43" s="2"/>
      <c r="X43" s="2"/>
      <c r="Y43" s="2"/>
      <c r="Z43" s="2"/>
    </row>
    <row r="44" ht="15.75" customHeight="1">
      <c r="A44" s="3">
        <v>46209.0</v>
      </c>
      <c r="B44" s="4" t="str">
        <f t="shared" si="1"/>
        <v>Sem 7</v>
      </c>
      <c r="C44" s="4" t="str">
        <f t="shared" si="2"/>
        <v>Lunes</v>
      </c>
      <c r="D44" s="11"/>
      <c r="E44" s="11"/>
      <c r="F44" s="11"/>
      <c r="G44" s="6" t="str">
        <f t="shared" si="3"/>
        <v/>
      </c>
      <c r="H44" s="11"/>
      <c r="I44" s="6" t="str">
        <f t="shared" si="4"/>
        <v/>
      </c>
      <c r="J44" s="11"/>
      <c r="K44" s="6" t="str">
        <f t="shared" si="5"/>
        <v/>
      </c>
      <c r="L44" s="11"/>
      <c r="M44" s="6" t="str">
        <f t="shared" si="6"/>
        <v/>
      </c>
      <c r="N44" s="11"/>
      <c r="O44" s="6" t="str">
        <f t="shared" si="7"/>
        <v/>
      </c>
      <c r="P44" s="12"/>
      <c r="Q44" s="8" t="str">
        <f>IF(P44="","",P44*'Config  Metas'!$B$10)</f>
        <v/>
      </c>
      <c r="R44" s="4" t="str">
        <f>IF(COUNTA(D44,E44,F44,H44,J44,L44,N44,P44)=0,"",IF(AND(D44&gt;0,E44/D44&lt;'Config  Metas'!$B$8),"🚨 COBERTURA DE LLAMADOS BAJA",IF(G44&lt;'Config  Metas'!$B$2,"🚨 CONTACTO BAJO",IF(I44&lt;'Config  Metas'!$B$3,"🚨 AGENDAMIENTO BAJO",IF(K44&lt;'Config  Metas'!$B$4,"⚠️ SHOW BAJO",IF(M44&lt;'Config  Metas'!$B$5,"🚨 RESERVA BAJA",IF(O44&lt;'Config  Metas'!$B$6,"🚨 CIERRE BAJO",IF(P44&lt;D44*'Config  Metas'!$B$15*'Config  Metas'!$B$9,"🔻 UF BAJO RITMO DINÁMICO","✅ DÍA SOBRE RITMO"))))))))</f>
        <v/>
      </c>
      <c r="S44" s="10"/>
      <c r="T44" s="10"/>
      <c r="U44" s="2"/>
      <c r="V44" s="2"/>
      <c r="W44" s="2"/>
      <c r="X44" s="2"/>
      <c r="Y44" s="2"/>
      <c r="Z44" s="2"/>
    </row>
    <row r="45" ht="15.75" customHeight="1">
      <c r="A45" s="3">
        <v>46210.0</v>
      </c>
      <c r="B45" s="4" t="str">
        <f t="shared" si="1"/>
        <v>Sem 7</v>
      </c>
      <c r="C45" s="4" t="str">
        <f t="shared" si="2"/>
        <v>Martes</v>
      </c>
      <c r="D45" s="11"/>
      <c r="E45" s="11"/>
      <c r="F45" s="11"/>
      <c r="G45" s="6" t="str">
        <f t="shared" si="3"/>
        <v/>
      </c>
      <c r="H45" s="11"/>
      <c r="I45" s="6" t="str">
        <f t="shared" si="4"/>
        <v/>
      </c>
      <c r="J45" s="11"/>
      <c r="K45" s="6" t="str">
        <f t="shared" si="5"/>
        <v/>
      </c>
      <c r="L45" s="11"/>
      <c r="M45" s="6" t="str">
        <f t="shared" si="6"/>
        <v/>
      </c>
      <c r="N45" s="11"/>
      <c r="O45" s="6" t="str">
        <f t="shared" si="7"/>
        <v/>
      </c>
      <c r="P45" s="12"/>
      <c r="Q45" s="8" t="str">
        <f>IF(P45="","",P45*'Config  Metas'!$B$10)</f>
        <v/>
      </c>
      <c r="R45" s="4" t="str">
        <f>IF(COUNTA(D45,E45,F45,H45,J45,L45,N45,P45)=0,"",IF(AND(D45&gt;0,E45/D45&lt;'Config  Metas'!$B$8),"🚨 COBERTURA DE LLAMADOS BAJA",IF(G45&lt;'Config  Metas'!$B$2,"🚨 CONTACTO BAJO",IF(I45&lt;'Config  Metas'!$B$3,"🚨 AGENDAMIENTO BAJO",IF(K45&lt;'Config  Metas'!$B$4,"⚠️ SHOW BAJO",IF(M45&lt;'Config  Metas'!$B$5,"🚨 RESERVA BAJA",IF(O45&lt;'Config  Metas'!$B$6,"🚨 CIERRE BAJO",IF(P45&lt;D45*'Config  Metas'!$B$15*'Config  Metas'!$B$9,"🔻 UF BAJO RITMO DINÁMICO","✅ DÍA SOBRE RITMO"))))))))</f>
        <v/>
      </c>
      <c r="S45" s="10"/>
      <c r="T45" s="10"/>
      <c r="U45" s="2"/>
      <c r="V45" s="2"/>
      <c r="W45" s="2"/>
      <c r="X45" s="2"/>
      <c r="Y45" s="2"/>
      <c r="Z45" s="2"/>
    </row>
    <row r="46" ht="15.75" customHeight="1">
      <c r="A46" s="3">
        <v>46211.0</v>
      </c>
      <c r="B46" s="4" t="str">
        <f t="shared" si="1"/>
        <v>Sem 7</v>
      </c>
      <c r="C46" s="4" t="str">
        <f t="shared" si="2"/>
        <v>Miércoles</v>
      </c>
      <c r="D46" s="11"/>
      <c r="E46" s="11"/>
      <c r="F46" s="11"/>
      <c r="G46" s="6" t="str">
        <f t="shared" si="3"/>
        <v/>
      </c>
      <c r="H46" s="11"/>
      <c r="I46" s="6" t="str">
        <f t="shared" si="4"/>
        <v/>
      </c>
      <c r="J46" s="11"/>
      <c r="K46" s="6" t="str">
        <f t="shared" si="5"/>
        <v/>
      </c>
      <c r="L46" s="11"/>
      <c r="M46" s="6" t="str">
        <f t="shared" si="6"/>
        <v/>
      </c>
      <c r="N46" s="11"/>
      <c r="O46" s="6" t="str">
        <f t="shared" si="7"/>
        <v/>
      </c>
      <c r="P46" s="12"/>
      <c r="Q46" s="8" t="str">
        <f>IF(P46="","",P46*'Config  Metas'!$B$10)</f>
        <v/>
      </c>
      <c r="R46" s="4" t="str">
        <f>IF(COUNTA(D46,E46,F46,H46,J46,L46,N46,P46)=0,"",IF(AND(D46&gt;0,E46/D46&lt;'Config  Metas'!$B$8),"🚨 COBERTURA DE LLAMADOS BAJA",IF(G46&lt;'Config  Metas'!$B$2,"🚨 CONTACTO BAJO",IF(I46&lt;'Config  Metas'!$B$3,"🚨 AGENDAMIENTO BAJO",IF(K46&lt;'Config  Metas'!$B$4,"⚠️ SHOW BAJO",IF(M46&lt;'Config  Metas'!$B$5,"🚨 RESERVA BAJA",IF(O46&lt;'Config  Metas'!$B$6,"🚨 CIERRE BAJO",IF(P46&lt;D46*'Config  Metas'!$B$15*'Config  Metas'!$B$9,"🔻 UF BAJO RITMO DINÁMICO","✅ DÍA SOBRE RITMO"))))))))</f>
        <v/>
      </c>
      <c r="S46" s="10"/>
      <c r="T46" s="10"/>
      <c r="U46" s="2"/>
      <c r="V46" s="2"/>
      <c r="W46" s="2"/>
      <c r="X46" s="2"/>
      <c r="Y46" s="2"/>
      <c r="Z46" s="2"/>
    </row>
    <row r="47" ht="15.75" customHeight="1">
      <c r="A47" s="3">
        <v>46212.0</v>
      </c>
      <c r="B47" s="4" t="str">
        <f t="shared" si="1"/>
        <v>Sem 7</v>
      </c>
      <c r="C47" s="4" t="str">
        <f t="shared" si="2"/>
        <v>Jueves</v>
      </c>
      <c r="D47" s="11"/>
      <c r="E47" s="11"/>
      <c r="F47" s="11"/>
      <c r="G47" s="6" t="str">
        <f t="shared" si="3"/>
        <v/>
      </c>
      <c r="H47" s="11"/>
      <c r="I47" s="6" t="str">
        <f t="shared" si="4"/>
        <v/>
      </c>
      <c r="J47" s="11"/>
      <c r="K47" s="6" t="str">
        <f t="shared" si="5"/>
        <v/>
      </c>
      <c r="L47" s="11"/>
      <c r="M47" s="6" t="str">
        <f t="shared" si="6"/>
        <v/>
      </c>
      <c r="N47" s="11"/>
      <c r="O47" s="6" t="str">
        <f t="shared" si="7"/>
        <v/>
      </c>
      <c r="P47" s="12"/>
      <c r="Q47" s="8" t="str">
        <f>IF(P47="","",P47*'Config  Metas'!$B$10)</f>
        <v/>
      </c>
      <c r="R47" s="4" t="str">
        <f>IF(COUNTA(D47,E47,F47,H47,J47,L47,N47,P47)=0,"",IF(AND(D47&gt;0,E47/D47&lt;'Config  Metas'!$B$8),"🚨 COBERTURA DE LLAMADOS BAJA",IF(G47&lt;'Config  Metas'!$B$2,"🚨 CONTACTO BAJO",IF(I47&lt;'Config  Metas'!$B$3,"🚨 AGENDAMIENTO BAJO",IF(K47&lt;'Config  Metas'!$B$4,"⚠️ SHOW BAJO",IF(M47&lt;'Config  Metas'!$B$5,"🚨 RESERVA BAJA",IF(O47&lt;'Config  Metas'!$B$6,"🚨 CIERRE BAJO",IF(P47&lt;D47*'Config  Metas'!$B$15*'Config  Metas'!$B$9,"🔻 UF BAJO RITMO DINÁMICO","✅ DÍA SOBRE RITMO"))))))))</f>
        <v/>
      </c>
      <c r="S47" s="10"/>
      <c r="T47" s="10"/>
      <c r="U47" s="2"/>
      <c r="V47" s="2"/>
      <c r="W47" s="2"/>
      <c r="X47" s="2"/>
      <c r="Y47" s="2"/>
      <c r="Z47" s="2"/>
    </row>
    <row r="48" ht="15.75" customHeight="1">
      <c r="A48" s="3">
        <v>46213.0</v>
      </c>
      <c r="B48" s="4" t="str">
        <f t="shared" si="1"/>
        <v>Sem 7</v>
      </c>
      <c r="C48" s="4" t="str">
        <f t="shared" si="2"/>
        <v>Viernes</v>
      </c>
      <c r="D48" s="11"/>
      <c r="E48" s="11"/>
      <c r="F48" s="11"/>
      <c r="G48" s="6" t="str">
        <f t="shared" si="3"/>
        <v/>
      </c>
      <c r="H48" s="11"/>
      <c r="I48" s="6" t="str">
        <f t="shared" si="4"/>
        <v/>
      </c>
      <c r="J48" s="11"/>
      <c r="K48" s="6" t="str">
        <f t="shared" si="5"/>
        <v/>
      </c>
      <c r="L48" s="11"/>
      <c r="M48" s="6" t="str">
        <f t="shared" si="6"/>
        <v/>
      </c>
      <c r="N48" s="11"/>
      <c r="O48" s="6" t="str">
        <f t="shared" si="7"/>
        <v/>
      </c>
      <c r="P48" s="12"/>
      <c r="Q48" s="8" t="str">
        <f>IF(P48="","",P48*'Config  Metas'!$B$10)</f>
        <v/>
      </c>
      <c r="R48" s="4" t="str">
        <f>IF(COUNTA(D48,E48,F48,H48,J48,L48,N48,P48)=0,"",IF(AND(D48&gt;0,E48/D48&lt;'Config  Metas'!$B$8),"🚨 COBERTURA DE LLAMADOS BAJA",IF(G48&lt;'Config  Metas'!$B$2,"🚨 CONTACTO BAJO",IF(I48&lt;'Config  Metas'!$B$3,"🚨 AGENDAMIENTO BAJO",IF(K48&lt;'Config  Metas'!$B$4,"⚠️ SHOW BAJO",IF(M48&lt;'Config  Metas'!$B$5,"🚨 RESERVA BAJA",IF(O48&lt;'Config  Metas'!$B$6,"🚨 CIERRE BAJO",IF(P48&lt;D48*'Config  Metas'!$B$15*'Config  Metas'!$B$9,"🔻 UF BAJO RITMO DINÁMICO","✅ DÍA SOBRE RITMO"))))))))</f>
        <v/>
      </c>
      <c r="S48" s="10"/>
      <c r="T48" s="10"/>
      <c r="U48" s="2"/>
      <c r="V48" s="2"/>
      <c r="W48" s="2"/>
      <c r="X48" s="2"/>
      <c r="Y48" s="2"/>
      <c r="Z48" s="2"/>
    </row>
    <row r="49" ht="15.75" customHeight="1">
      <c r="A49" s="3">
        <v>46214.0</v>
      </c>
      <c r="B49" s="4" t="str">
        <f t="shared" si="1"/>
        <v>Sem 7</v>
      </c>
      <c r="C49" s="4" t="str">
        <f t="shared" si="2"/>
        <v>Sábado</v>
      </c>
      <c r="D49" s="11"/>
      <c r="E49" s="11"/>
      <c r="F49" s="11"/>
      <c r="G49" s="6" t="str">
        <f t="shared" si="3"/>
        <v/>
      </c>
      <c r="H49" s="11"/>
      <c r="I49" s="6" t="str">
        <f t="shared" si="4"/>
        <v/>
      </c>
      <c r="J49" s="11"/>
      <c r="K49" s="6" t="str">
        <f t="shared" si="5"/>
        <v/>
      </c>
      <c r="L49" s="11"/>
      <c r="M49" s="6" t="str">
        <f t="shared" si="6"/>
        <v/>
      </c>
      <c r="N49" s="11"/>
      <c r="O49" s="6" t="str">
        <f t="shared" si="7"/>
        <v/>
      </c>
      <c r="P49" s="12"/>
      <c r="Q49" s="8" t="str">
        <f>IF(P49="","",P49*'Config  Metas'!$B$10)</f>
        <v/>
      </c>
      <c r="R49" s="4" t="str">
        <f>IF(COUNTA(D49,E49,F49,H49,J49,L49,N49,P49)=0,"",IF(AND(D49&gt;0,E49/D49&lt;'Config  Metas'!$B$8),"🚨 COBERTURA DE LLAMADOS BAJA",IF(G49&lt;'Config  Metas'!$B$2,"🚨 CONTACTO BAJO",IF(I49&lt;'Config  Metas'!$B$3,"🚨 AGENDAMIENTO BAJO",IF(K49&lt;'Config  Metas'!$B$4,"⚠️ SHOW BAJO",IF(M49&lt;'Config  Metas'!$B$5,"🚨 RESERVA BAJA",IF(O49&lt;'Config  Metas'!$B$6,"🚨 CIERRE BAJO",IF(P49&lt;D49*'Config  Metas'!$B$15*'Config  Metas'!$B$9,"🔻 UF BAJO RITMO DINÁMICO","✅ DÍA SOBRE RITMO"))))))))</f>
        <v/>
      </c>
      <c r="S49" s="10"/>
      <c r="T49" s="10"/>
      <c r="U49" s="2"/>
      <c r="V49" s="2"/>
      <c r="W49" s="2"/>
      <c r="X49" s="2"/>
      <c r="Y49" s="2"/>
      <c r="Z49" s="2"/>
    </row>
    <row r="50" ht="15.75" customHeight="1">
      <c r="A50" s="3">
        <v>46215.0</v>
      </c>
      <c r="B50" s="4" t="str">
        <f t="shared" si="1"/>
        <v>Sem 7</v>
      </c>
      <c r="C50" s="4" t="str">
        <f t="shared" si="2"/>
        <v>Domingo</v>
      </c>
      <c r="D50" s="11"/>
      <c r="E50" s="11"/>
      <c r="F50" s="11"/>
      <c r="G50" s="6" t="str">
        <f t="shared" si="3"/>
        <v/>
      </c>
      <c r="H50" s="11"/>
      <c r="I50" s="6" t="str">
        <f t="shared" si="4"/>
        <v/>
      </c>
      <c r="J50" s="11"/>
      <c r="K50" s="6" t="str">
        <f t="shared" si="5"/>
        <v/>
      </c>
      <c r="L50" s="11"/>
      <c r="M50" s="6" t="str">
        <f t="shared" si="6"/>
        <v/>
      </c>
      <c r="N50" s="11"/>
      <c r="O50" s="6" t="str">
        <f t="shared" si="7"/>
        <v/>
      </c>
      <c r="P50" s="12"/>
      <c r="Q50" s="8" t="str">
        <f>IF(P50="","",P50*'Config  Metas'!$B$10)</f>
        <v/>
      </c>
      <c r="R50" s="4" t="str">
        <f>IF(COUNTA(D50,E50,F50,H50,J50,L50,N50,P50)=0,"",IF(AND(D50&gt;0,E50/D50&lt;'Config  Metas'!$B$8),"🚨 COBERTURA DE LLAMADOS BAJA",IF(G50&lt;'Config  Metas'!$B$2,"🚨 CONTACTO BAJO",IF(I50&lt;'Config  Metas'!$B$3,"🚨 AGENDAMIENTO BAJO",IF(K50&lt;'Config  Metas'!$B$4,"⚠️ SHOW BAJO",IF(M50&lt;'Config  Metas'!$B$5,"🚨 RESERVA BAJA",IF(O50&lt;'Config  Metas'!$B$6,"🚨 CIERRE BAJO",IF(P50&lt;D50*'Config  Metas'!$B$15*'Config  Metas'!$B$9,"🔻 UF BAJO RITMO DINÁMICO","✅ DÍA SOBRE RITMO"))))))))</f>
        <v/>
      </c>
      <c r="S50" s="10"/>
      <c r="T50" s="10"/>
      <c r="U50" s="2"/>
      <c r="V50" s="2"/>
      <c r="W50" s="2"/>
      <c r="X50" s="2"/>
      <c r="Y50" s="2"/>
      <c r="Z50" s="2"/>
    </row>
    <row r="51" ht="15.75" customHeight="1">
      <c r="A51" s="3">
        <v>46216.0</v>
      </c>
      <c r="B51" s="4" t="str">
        <f t="shared" si="1"/>
        <v>Sem 8</v>
      </c>
      <c r="C51" s="4" t="str">
        <f t="shared" si="2"/>
        <v>Lunes</v>
      </c>
      <c r="D51" s="11"/>
      <c r="E51" s="11"/>
      <c r="F51" s="11"/>
      <c r="G51" s="6" t="str">
        <f t="shared" si="3"/>
        <v/>
      </c>
      <c r="H51" s="11"/>
      <c r="I51" s="6" t="str">
        <f t="shared" si="4"/>
        <v/>
      </c>
      <c r="J51" s="11"/>
      <c r="K51" s="6" t="str">
        <f t="shared" si="5"/>
        <v/>
      </c>
      <c r="L51" s="11"/>
      <c r="M51" s="6" t="str">
        <f t="shared" si="6"/>
        <v/>
      </c>
      <c r="N51" s="11"/>
      <c r="O51" s="6" t="str">
        <f t="shared" si="7"/>
        <v/>
      </c>
      <c r="P51" s="12"/>
      <c r="Q51" s="8" t="str">
        <f>IF(P51="","",P51*'Config  Metas'!$B$10)</f>
        <v/>
      </c>
      <c r="R51" s="4" t="str">
        <f>IF(COUNTA(D51,E51,F51,H51,J51,L51,N51,P51)=0,"",IF(AND(D51&gt;0,E51/D51&lt;'Config  Metas'!$B$8),"🚨 COBERTURA DE LLAMADOS BAJA",IF(G51&lt;'Config  Metas'!$B$2,"🚨 CONTACTO BAJO",IF(I51&lt;'Config  Metas'!$B$3,"🚨 AGENDAMIENTO BAJO",IF(K51&lt;'Config  Metas'!$B$4,"⚠️ SHOW BAJO",IF(M51&lt;'Config  Metas'!$B$5,"🚨 RESERVA BAJA",IF(O51&lt;'Config  Metas'!$B$6,"🚨 CIERRE BAJO",IF(P51&lt;D51*'Config  Metas'!$B$15*'Config  Metas'!$B$9,"🔻 UF BAJO RITMO DINÁMICO","✅ DÍA SOBRE RITMO"))))))))</f>
        <v/>
      </c>
      <c r="S51" s="10"/>
      <c r="T51" s="10"/>
      <c r="U51" s="2"/>
      <c r="V51" s="2"/>
      <c r="W51" s="2"/>
      <c r="X51" s="2"/>
      <c r="Y51" s="2"/>
      <c r="Z51" s="2"/>
    </row>
    <row r="52" ht="15.75" customHeight="1">
      <c r="A52" s="3">
        <v>46217.0</v>
      </c>
      <c r="B52" s="4" t="str">
        <f t="shared" si="1"/>
        <v>Sem 8</v>
      </c>
      <c r="C52" s="4" t="str">
        <f t="shared" si="2"/>
        <v>Martes</v>
      </c>
      <c r="D52" s="11"/>
      <c r="E52" s="11"/>
      <c r="F52" s="11"/>
      <c r="G52" s="6" t="str">
        <f t="shared" si="3"/>
        <v/>
      </c>
      <c r="H52" s="11"/>
      <c r="I52" s="6" t="str">
        <f t="shared" si="4"/>
        <v/>
      </c>
      <c r="J52" s="11"/>
      <c r="K52" s="6" t="str">
        <f t="shared" si="5"/>
        <v/>
      </c>
      <c r="L52" s="11"/>
      <c r="M52" s="6" t="str">
        <f t="shared" si="6"/>
        <v/>
      </c>
      <c r="N52" s="11"/>
      <c r="O52" s="6" t="str">
        <f t="shared" si="7"/>
        <v/>
      </c>
      <c r="P52" s="12"/>
      <c r="Q52" s="8" t="str">
        <f>IF(P52="","",P52*'Config  Metas'!$B$10)</f>
        <v/>
      </c>
      <c r="R52" s="4" t="str">
        <f>IF(COUNTA(D52,E52,F52,H52,J52,L52,N52,P52)=0,"",IF(AND(D52&gt;0,E52/D52&lt;'Config  Metas'!$B$8),"🚨 COBERTURA DE LLAMADOS BAJA",IF(G52&lt;'Config  Metas'!$B$2,"🚨 CONTACTO BAJO",IF(I52&lt;'Config  Metas'!$B$3,"🚨 AGENDAMIENTO BAJO",IF(K52&lt;'Config  Metas'!$B$4,"⚠️ SHOW BAJO",IF(M52&lt;'Config  Metas'!$B$5,"🚨 RESERVA BAJA",IF(O52&lt;'Config  Metas'!$B$6,"🚨 CIERRE BAJO",IF(P52&lt;D52*'Config  Metas'!$B$15*'Config  Metas'!$B$9,"🔻 UF BAJO RITMO DINÁMICO","✅ DÍA SOBRE RITMO"))))))))</f>
        <v/>
      </c>
      <c r="S52" s="10"/>
      <c r="T52" s="10"/>
      <c r="U52" s="2"/>
      <c r="V52" s="2"/>
      <c r="W52" s="2"/>
      <c r="X52" s="2"/>
      <c r="Y52" s="2"/>
      <c r="Z52" s="2"/>
    </row>
    <row r="53" ht="15.75" customHeight="1">
      <c r="A53" s="3">
        <v>46218.0</v>
      </c>
      <c r="B53" s="4" t="str">
        <f t="shared" si="1"/>
        <v>Sem 8</v>
      </c>
      <c r="C53" s="4" t="str">
        <f t="shared" si="2"/>
        <v>Miércoles</v>
      </c>
      <c r="D53" s="11"/>
      <c r="E53" s="11"/>
      <c r="F53" s="11"/>
      <c r="G53" s="6" t="str">
        <f t="shared" si="3"/>
        <v/>
      </c>
      <c r="H53" s="11"/>
      <c r="I53" s="6" t="str">
        <f t="shared" si="4"/>
        <v/>
      </c>
      <c r="J53" s="11"/>
      <c r="K53" s="6" t="str">
        <f t="shared" si="5"/>
        <v/>
      </c>
      <c r="L53" s="11"/>
      <c r="M53" s="6" t="str">
        <f t="shared" si="6"/>
        <v/>
      </c>
      <c r="N53" s="11"/>
      <c r="O53" s="6" t="str">
        <f t="shared" si="7"/>
        <v/>
      </c>
      <c r="P53" s="12"/>
      <c r="Q53" s="8" t="str">
        <f>IF(P53="","",P53*'Config  Metas'!$B$10)</f>
        <v/>
      </c>
      <c r="R53" s="4" t="str">
        <f>IF(COUNTA(D53,E53,F53,H53,J53,L53,N53,P53)=0,"",IF(AND(D53&gt;0,E53/D53&lt;'Config  Metas'!$B$8),"🚨 COBERTURA DE LLAMADOS BAJA",IF(G53&lt;'Config  Metas'!$B$2,"🚨 CONTACTO BAJO",IF(I53&lt;'Config  Metas'!$B$3,"🚨 AGENDAMIENTO BAJO",IF(K53&lt;'Config  Metas'!$B$4,"⚠️ SHOW BAJO",IF(M53&lt;'Config  Metas'!$B$5,"🚨 RESERVA BAJA",IF(O53&lt;'Config  Metas'!$B$6,"🚨 CIERRE BAJO",IF(P53&lt;D53*'Config  Metas'!$B$15*'Config  Metas'!$B$9,"🔻 UF BAJO RITMO DINÁMICO","✅ DÍA SOBRE RITMO"))))))))</f>
        <v/>
      </c>
      <c r="S53" s="10"/>
      <c r="T53" s="10"/>
      <c r="U53" s="2"/>
      <c r="V53" s="2"/>
      <c r="W53" s="2"/>
      <c r="X53" s="2"/>
      <c r="Y53" s="2"/>
      <c r="Z53" s="2"/>
    </row>
    <row r="54" ht="15.75" customHeight="1">
      <c r="A54" s="3">
        <v>46219.0</v>
      </c>
      <c r="B54" s="4" t="str">
        <f t="shared" si="1"/>
        <v>Sem 8</v>
      </c>
      <c r="C54" s="4" t="str">
        <f t="shared" si="2"/>
        <v>Jueves</v>
      </c>
      <c r="D54" s="11"/>
      <c r="E54" s="11"/>
      <c r="F54" s="11"/>
      <c r="G54" s="6" t="str">
        <f t="shared" si="3"/>
        <v/>
      </c>
      <c r="H54" s="11"/>
      <c r="I54" s="6" t="str">
        <f t="shared" si="4"/>
        <v/>
      </c>
      <c r="J54" s="11"/>
      <c r="K54" s="6" t="str">
        <f t="shared" si="5"/>
        <v/>
      </c>
      <c r="L54" s="11"/>
      <c r="M54" s="6" t="str">
        <f t="shared" si="6"/>
        <v/>
      </c>
      <c r="N54" s="11"/>
      <c r="O54" s="6" t="str">
        <f t="shared" si="7"/>
        <v/>
      </c>
      <c r="P54" s="12"/>
      <c r="Q54" s="8" t="str">
        <f>IF(P54="","",P54*'Config  Metas'!$B$10)</f>
        <v/>
      </c>
      <c r="R54" s="4" t="str">
        <f>IF(COUNTA(D54,E54,F54,H54,J54,L54,N54,P54)=0,"",IF(AND(D54&gt;0,E54/D54&lt;'Config  Metas'!$B$8),"🚨 COBERTURA DE LLAMADOS BAJA",IF(G54&lt;'Config  Metas'!$B$2,"🚨 CONTACTO BAJO",IF(I54&lt;'Config  Metas'!$B$3,"🚨 AGENDAMIENTO BAJO",IF(K54&lt;'Config  Metas'!$B$4,"⚠️ SHOW BAJO",IF(M54&lt;'Config  Metas'!$B$5,"🚨 RESERVA BAJA",IF(O54&lt;'Config  Metas'!$B$6,"🚨 CIERRE BAJO",IF(P54&lt;D54*'Config  Metas'!$B$15*'Config  Metas'!$B$9,"🔻 UF BAJO RITMO DINÁMICO","✅ DÍA SOBRE RITMO"))))))))</f>
        <v/>
      </c>
      <c r="S54" s="10"/>
      <c r="T54" s="10"/>
      <c r="U54" s="2"/>
      <c r="V54" s="2"/>
      <c r="W54" s="2"/>
      <c r="X54" s="2"/>
      <c r="Y54" s="2"/>
      <c r="Z54" s="2"/>
    </row>
    <row r="55" ht="15.75" customHeight="1">
      <c r="A55" s="3">
        <v>46220.0</v>
      </c>
      <c r="B55" s="4" t="str">
        <f t="shared" si="1"/>
        <v>Sem 8</v>
      </c>
      <c r="C55" s="4" t="str">
        <f t="shared" si="2"/>
        <v>Viernes</v>
      </c>
      <c r="D55" s="11"/>
      <c r="E55" s="11"/>
      <c r="F55" s="11"/>
      <c r="G55" s="6" t="str">
        <f t="shared" si="3"/>
        <v/>
      </c>
      <c r="H55" s="11"/>
      <c r="I55" s="6" t="str">
        <f t="shared" si="4"/>
        <v/>
      </c>
      <c r="J55" s="11"/>
      <c r="K55" s="6" t="str">
        <f t="shared" si="5"/>
        <v/>
      </c>
      <c r="L55" s="11"/>
      <c r="M55" s="6" t="str">
        <f t="shared" si="6"/>
        <v/>
      </c>
      <c r="N55" s="11"/>
      <c r="O55" s="6" t="str">
        <f t="shared" si="7"/>
        <v/>
      </c>
      <c r="P55" s="12"/>
      <c r="Q55" s="8" t="str">
        <f>IF(P55="","",P55*'Config  Metas'!$B$10)</f>
        <v/>
      </c>
      <c r="R55" s="4" t="str">
        <f>IF(COUNTA(D55,E55,F55,H55,J55,L55,N55,P55)=0,"",IF(AND(D55&gt;0,E55/D55&lt;'Config  Metas'!$B$8),"🚨 COBERTURA DE LLAMADOS BAJA",IF(G55&lt;'Config  Metas'!$B$2,"🚨 CONTACTO BAJO",IF(I55&lt;'Config  Metas'!$B$3,"🚨 AGENDAMIENTO BAJO",IF(K55&lt;'Config  Metas'!$B$4,"⚠️ SHOW BAJO",IF(M55&lt;'Config  Metas'!$B$5,"🚨 RESERVA BAJA",IF(O55&lt;'Config  Metas'!$B$6,"🚨 CIERRE BAJO",IF(P55&lt;D55*'Config  Metas'!$B$15*'Config  Metas'!$B$9,"🔻 UF BAJO RITMO DINÁMICO","✅ DÍA SOBRE RITMO"))))))))</f>
        <v/>
      </c>
      <c r="S55" s="10"/>
      <c r="T55" s="10"/>
      <c r="U55" s="2"/>
      <c r="V55" s="2"/>
      <c r="W55" s="2"/>
      <c r="X55" s="2"/>
      <c r="Y55" s="2"/>
      <c r="Z55" s="2"/>
    </row>
    <row r="56" ht="15.75" customHeight="1">
      <c r="A56" s="3">
        <v>46221.0</v>
      </c>
      <c r="B56" s="4" t="str">
        <f t="shared" si="1"/>
        <v>Sem 8</v>
      </c>
      <c r="C56" s="4" t="str">
        <f t="shared" si="2"/>
        <v>Sábado</v>
      </c>
      <c r="D56" s="11"/>
      <c r="E56" s="11"/>
      <c r="F56" s="11"/>
      <c r="G56" s="6" t="str">
        <f t="shared" si="3"/>
        <v/>
      </c>
      <c r="H56" s="11"/>
      <c r="I56" s="6" t="str">
        <f t="shared" si="4"/>
        <v/>
      </c>
      <c r="J56" s="11"/>
      <c r="K56" s="6" t="str">
        <f t="shared" si="5"/>
        <v/>
      </c>
      <c r="L56" s="11"/>
      <c r="M56" s="6" t="str">
        <f t="shared" si="6"/>
        <v/>
      </c>
      <c r="N56" s="11"/>
      <c r="O56" s="6" t="str">
        <f t="shared" si="7"/>
        <v/>
      </c>
      <c r="P56" s="12"/>
      <c r="Q56" s="8" t="str">
        <f>IF(P56="","",P56*'Config  Metas'!$B$10)</f>
        <v/>
      </c>
      <c r="R56" s="4" t="str">
        <f>IF(COUNTA(D56,E56,F56,H56,J56,L56,N56,P56)=0,"",IF(AND(D56&gt;0,E56/D56&lt;'Config  Metas'!$B$8),"🚨 COBERTURA DE LLAMADOS BAJA",IF(G56&lt;'Config  Metas'!$B$2,"🚨 CONTACTO BAJO",IF(I56&lt;'Config  Metas'!$B$3,"🚨 AGENDAMIENTO BAJO",IF(K56&lt;'Config  Metas'!$B$4,"⚠️ SHOW BAJO",IF(M56&lt;'Config  Metas'!$B$5,"🚨 RESERVA BAJA",IF(O56&lt;'Config  Metas'!$B$6,"🚨 CIERRE BAJO",IF(P56&lt;D56*'Config  Metas'!$B$15*'Config  Metas'!$B$9,"🔻 UF BAJO RITMO DINÁMICO","✅ DÍA SOBRE RITMO"))))))))</f>
        <v/>
      </c>
      <c r="S56" s="10"/>
      <c r="T56" s="10"/>
      <c r="U56" s="2"/>
      <c r="V56" s="2"/>
      <c r="W56" s="2"/>
      <c r="X56" s="2"/>
      <c r="Y56" s="2"/>
      <c r="Z56" s="2"/>
    </row>
    <row r="57" ht="15.75" customHeight="1">
      <c r="A57" s="3">
        <v>46222.0</v>
      </c>
      <c r="B57" s="4" t="str">
        <f t="shared" si="1"/>
        <v>Sem 8</v>
      </c>
      <c r="C57" s="4" t="str">
        <f t="shared" si="2"/>
        <v>Domingo</v>
      </c>
      <c r="D57" s="11"/>
      <c r="E57" s="11"/>
      <c r="F57" s="11"/>
      <c r="G57" s="6" t="str">
        <f t="shared" si="3"/>
        <v/>
      </c>
      <c r="H57" s="11"/>
      <c r="I57" s="6" t="str">
        <f t="shared" si="4"/>
        <v/>
      </c>
      <c r="J57" s="11"/>
      <c r="K57" s="6" t="str">
        <f t="shared" si="5"/>
        <v/>
      </c>
      <c r="L57" s="11"/>
      <c r="M57" s="6" t="str">
        <f t="shared" si="6"/>
        <v/>
      </c>
      <c r="N57" s="11"/>
      <c r="O57" s="6" t="str">
        <f t="shared" si="7"/>
        <v/>
      </c>
      <c r="P57" s="12"/>
      <c r="Q57" s="8" t="str">
        <f>IF(P57="","",P57*'Config  Metas'!$B$10)</f>
        <v/>
      </c>
      <c r="R57" s="4" t="str">
        <f>IF(COUNTA(D57,E57,F57,H57,J57,L57,N57,P57)=0,"",IF(AND(D57&gt;0,E57/D57&lt;'Config  Metas'!$B$8),"🚨 COBERTURA DE LLAMADOS BAJA",IF(G57&lt;'Config  Metas'!$B$2,"🚨 CONTACTO BAJO",IF(I57&lt;'Config  Metas'!$B$3,"🚨 AGENDAMIENTO BAJO",IF(K57&lt;'Config  Metas'!$B$4,"⚠️ SHOW BAJO",IF(M57&lt;'Config  Metas'!$B$5,"🚨 RESERVA BAJA",IF(O57&lt;'Config  Metas'!$B$6,"🚨 CIERRE BAJO",IF(P57&lt;D57*'Config  Metas'!$B$15*'Config  Metas'!$B$9,"🔻 UF BAJO RITMO DINÁMICO","✅ DÍA SOBRE RITMO"))))))))</f>
        <v/>
      </c>
      <c r="S57" s="10"/>
      <c r="T57" s="10"/>
      <c r="U57" s="2"/>
      <c r="V57" s="2"/>
      <c r="W57" s="2"/>
      <c r="X57" s="2"/>
      <c r="Y57" s="2"/>
      <c r="Z57" s="2"/>
    </row>
    <row r="58" ht="15.75" customHeight="1">
      <c r="A58" s="3">
        <v>46223.0</v>
      </c>
      <c r="B58" s="4" t="str">
        <f t="shared" si="1"/>
        <v>Sem 9</v>
      </c>
      <c r="C58" s="4" t="str">
        <f t="shared" si="2"/>
        <v>Lunes</v>
      </c>
      <c r="D58" s="11"/>
      <c r="E58" s="11"/>
      <c r="F58" s="11"/>
      <c r="G58" s="6" t="str">
        <f t="shared" si="3"/>
        <v/>
      </c>
      <c r="H58" s="11"/>
      <c r="I58" s="6" t="str">
        <f t="shared" si="4"/>
        <v/>
      </c>
      <c r="J58" s="11"/>
      <c r="K58" s="6" t="str">
        <f t="shared" si="5"/>
        <v/>
      </c>
      <c r="L58" s="11"/>
      <c r="M58" s="6" t="str">
        <f t="shared" si="6"/>
        <v/>
      </c>
      <c r="N58" s="11"/>
      <c r="O58" s="6" t="str">
        <f t="shared" si="7"/>
        <v/>
      </c>
      <c r="P58" s="12"/>
      <c r="Q58" s="8" t="str">
        <f>IF(P58="","",P58*'Config  Metas'!$B$10)</f>
        <v/>
      </c>
      <c r="R58" s="4" t="str">
        <f>IF(COUNTA(D58,E58,F58,H58,J58,L58,N58,P58)=0,"",IF(AND(D58&gt;0,E58/D58&lt;'Config  Metas'!$B$8),"🚨 COBERTURA DE LLAMADOS BAJA",IF(G58&lt;'Config  Metas'!$B$2,"🚨 CONTACTO BAJO",IF(I58&lt;'Config  Metas'!$B$3,"🚨 AGENDAMIENTO BAJO",IF(K58&lt;'Config  Metas'!$B$4,"⚠️ SHOW BAJO",IF(M58&lt;'Config  Metas'!$B$5,"🚨 RESERVA BAJA",IF(O58&lt;'Config  Metas'!$B$6,"🚨 CIERRE BAJO",IF(P58&lt;D58*'Config  Metas'!$B$15*'Config  Metas'!$B$9,"🔻 UF BAJO RITMO DINÁMICO","✅ DÍA SOBRE RITMO"))))))))</f>
        <v/>
      </c>
      <c r="S58" s="10"/>
      <c r="T58" s="10"/>
      <c r="U58" s="2"/>
      <c r="V58" s="2"/>
      <c r="W58" s="2"/>
      <c r="X58" s="2"/>
      <c r="Y58" s="2"/>
      <c r="Z58" s="2"/>
    </row>
    <row r="59" ht="15.75" customHeight="1">
      <c r="A59" s="3">
        <v>46224.0</v>
      </c>
      <c r="B59" s="4" t="str">
        <f t="shared" si="1"/>
        <v>Sem 9</v>
      </c>
      <c r="C59" s="4" t="str">
        <f t="shared" si="2"/>
        <v>Martes</v>
      </c>
      <c r="D59" s="11"/>
      <c r="E59" s="11"/>
      <c r="F59" s="11"/>
      <c r="G59" s="6" t="str">
        <f t="shared" si="3"/>
        <v/>
      </c>
      <c r="H59" s="11"/>
      <c r="I59" s="6" t="str">
        <f t="shared" si="4"/>
        <v/>
      </c>
      <c r="J59" s="11"/>
      <c r="K59" s="6" t="str">
        <f t="shared" si="5"/>
        <v/>
      </c>
      <c r="L59" s="11"/>
      <c r="M59" s="6" t="str">
        <f t="shared" si="6"/>
        <v/>
      </c>
      <c r="N59" s="11"/>
      <c r="O59" s="6" t="str">
        <f t="shared" si="7"/>
        <v/>
      </c>
      <c r="P59" s="12"/>
      <c r="Q59" s="8" t="str">
        <f>IF(P59="","",P59*'Config  Metas'!$B$10)</f>
        <v/>
      </c>
      <c r="R59" s="4" t="str">
        <f>IF(COUNTA(D59,E59,F59,H59,J59,L59,N59,P59)=0,"",IF(AND(D59&gt;0,E59/D59&lt;'Config  Metas'!$B$8),"🚨 COBERTURA DE LLAMADOS BAJA",IF(G59&lt;'Config  Metas'!$B$2,"🚨 CONTACTO BAJO",IF(I59&lt;'Config  Metas'!$B$3,"🚨 AGENDAMIENTO BAJO",IF(K59&lt;'Config  Metas'!$B$4,"⚠️ SHOW BAJO",IF(M59&lt;'Config  Metas'!$B$5,"🚨 RESERVA BAJA",IF(O59&lt;'Config  Metas'!$B$6,"🚨 CIERRE BAJO",IF(P59&lt;D59*'Config  Metas'!$B$15*'Config  Metas'!$B$9,"🔻 UF BAJO RITMO DINÁMICO","✅ DÍA SOBRE RITMO"))))))))</f>
        <v/>
      </c>
      <c r="S59" s="10"/>
      <c r="T59" s="10"/>
      <c r="U59" s="2"/>
      <c r="V59" s="2"/>
      <c r="W59" s="2"/>
      <c r="X59" s="2"/>
      <c r="Y59" s="2"/>
      <c r="Z59" s="2"/>
    </row>
    <row r="60" ht="15.75" customHeight="1">
      <c r="A60" s="3">
        <v>46225.0</v>
      </c>
      <c r="B60" s="4" t="str">
        <f t="shared" si="1"/>
        <v>Sem 9</v>
      </c>
      <c r="C60" s="4" t="str">
        <f t="shared" si="2"/>
        <v>Miércoles</v>
      </c>
      <c r="D60" s="11"/>
      <c r="E60" s="11"/>
      <c r="F60" s="11"/>
      <c r="G60" s="6" t="str">
        <f t="shared" si="3"/>
        <v/>
      </c>
      <c r="H60" s="11"/>
      <c r="I60" s="6" t="str">
        <f t="shared" si="4"/>
        <v/>
      </c>
      <c r="J60" s="11"/>
      <c r="K60" s="6" t="str">
        <f t="shared" si="5"/>
        <v/>
      </c>
      <c r="L60" s="11"/>
      <c r="M60" s="6" t="str">
        <f t="shared" si="6"/>
        <v/>
      </c>
      <c r="N60" s="11"/>
      <c r="O60" s="6" t="str">
        <f t="shared" si="7"/>
        <v/>
      </c>
      <c r="P60" s="12"/>
      <c r="Q60" s="8" t="str">
        <f>IF(P60="","",P60*'Config  Metas'!$B$10)</f>
        <v/>
      </c>
      <c r="R60" s="4" t="str">
        <f>IF(COUNTA(D60,E60,F60,H60,J60,L60,N60,P60)=0,"",IF(AND(D60&gt;0,E60/D60&lt;'Config  Metas'!$B$8),"🚨 COBERTURA DE LLAMADOS BAJA",IF(G60&lt;'Config  Metas'!$B$2,"🚨 CONTACTO BAJO",IF(I60&lt;'Config  Metas'!$B$3,"🚨 AGENDAMIENTO BAJO",IF(K60&lt;'Config  Metas'!$B$4,"⚠️ SHOW BAJO",IF(M60&lt;'Config  Metas'!$B$5,"🚨 RESERVA BAJA",IF(O60&lt;'Config  Metas'!$B$6,"🚨 CIERRE BAJO",IF(P60&lt;D60*'Config  Metas'!$B$15*'Config  Metas'!$B$9,"🔻 UF BAJO RITMO DINÁMICO","✅ DÍA SOBRE RITMO"))))))))</f>
        <v/>
      </c>
      <c r="S60" s="10"/>
      <c r="T60" s="10"/>
      <c r="U60" s="2"/>
      <c r="V60" s="2"/>
      <c r="W60" s="2"/>
      <c r="X60" s="2"/>
      <c r="Y60" s="2"/>
      <c r="Z60" s="2"/>
    </row>
    <row r="61" ht="15.75" customHeight="1">
      <c r="A61" s="3">
        <v>46226.0</v>
      </c>
      <c r="B61" s="4" t="str">
        <f t="shared" si="1"/>
        <v>Sem 9</v>
      </c>
      <c r="C61" s="4" t="str">
        <f t="shared" si="2"/>
        <v>Jueves</v>
      </c>
      <c r="D61" s="11"/>
      <c r="E61" s="11"/>
      <c r="F61" s="11"/>
      <c r="G61" s="6" t="str">
        <f t="shared" si="3"/>
        <v/>
      </c>
      <c r="H61" s="11"/>
      <c r="I61" s="6" t="str">
        <f t="shared" si="4"/>
        <v/>
      </c>
      <c r="J61" s="11"/>
      <c r="K61" s="6" t="str">
        <f t="shared" si="5"/>
        <v/>
      </c>
      <c r="L61" s="11"/>
      <c r="M61" s="6" t="str">
        <f t="shared" si="6"/>
        <v/>
      </c>
      <c r="N61" s="11"/>
      <c r="O61" s="6" t="str">
        <f t="shared" si="7"/>
        <v/>
      </c>
      <c r="P61" s="12"/>
      <c r="Q61" s="8" t="str">
        <f>IF(P61="","",P61*'Config  Metas'!$B$10)</f>
        <v/>
      </c>
      <c r="R61" s="4" t="str">
        <f>IF(COUNTA(D61,E61,F61,H61,J61,L61,N61,P61)=0,"",IF(AND(D61&gt;0,E61/D61&lt;'Config  Metas'!$B$8),"🚨 COBERTURA DE LLAMADOS BAJA",IF(G61&lt;'Config  Metas'!$B$2,"🚨 CONTACTO BAJO",IF(I61&lt;'Config  Metas'!$B$3,"🚨 AGENDAMIENTO BAJO",IF(K61&lt;'Config  Metas'!$B$4,"⚠️ SHOW BAJO",IF(M61&lt;'Config  Metas'!$B$5,"🚨 RESERVA BAJA",IF(O61&lt;'Config  Metas'!$B$6,"🚨 CIERRE BAJO",IF(P61&lt;D61*'Config  Metas'!$B$15*'Config  Metas'!$B$9,"🔻 UF BAJO RITMO DINÁMICO","✅ DÍA SOBRE RITMO"))))))))</f>
        <v/>
      </c>
      <c r="S61" s="10"/>
      <c r="T61" s="10"/>
      <c r="U61" s="2"/>
      <c r="V61" s="2"/>
      <c r="W61" s="2"/>
      <c r="X61" s="2"/>
      <c r="Y61" s="2"/>
      <c r="Z61" s="2"/>
    </row>
    <row r="62" ht="15.75" customHeight="1">
      <c r="A62" s="3">
        <v>46227.0</v>
      </c>
      <c r="B62" s="4" t="str">
        <f t="shared" si="1"/>
        <v>Sem 9</v>
      </c>
      <c r="C62" s="4" t="str">
        <f t="shared" si="2"/>
        <v>Viernes</v>
      </c>
      <c r="D62" s="11"/>
      <c r="E62" s="11"/>
      <c r="F62" s="11"/>
      <c r="G62" s="6" t="str">
        <f t="shared" si="3"/>
        <v/>
      </c>
      <c r="H62" s="11"/>
      <c r="I62" s="6" t="str">
        <f t="shared" si="4"/>
        <v/>
      </c>
      <c r="J62" s="11"/>
      <c r="K62" s="6" t="str">
        <f t="shared" si="5"/>
        <v/>
      </c>
      <c r="L62" s="11"/>
      <c r="M62" s="6" t="str">
        <f t="shared" si="6"/>
        <v/>
      </c>
      <c r="N62" s="11"/>
      <c r="O62" s="6" t="str">
        <f t="shared" si="7"/>
        <v/>
      </c>
      <c r="P62" s="12"/>
      <c r="Q62" s="8" t="str">
        <f>IF(P62="","",P62*'Config  Metas'!$B$10)</f>
        <v/>
      </c>
      <c r="R62" s="4" t="str">
        <f>IF(COUNTA(D62,E62,F62,H62,J62,L62,N62,P62)=0,"",IF(AND(D62&gt;0,E62/D62&lt;'Config  Metas'!$B$8),"🚨 COBERTURA DE LLAMADOS BAJA",IF(G62&lt;'Config  Metas'!$B$2,"🚨 CONTACTO BAJO",IF(I62&lt;'Config  Metas'!$B$3,"🚨 AGENDAMIENTO BAJO",IF(K62&lt;'Config  Metas'!$B$4,"⚠️ SHOW BAJO",IF(M62&lt;'Config  Metas'!$B$5,"🚨 RESERVA BAJA",IF(O62&lt;'Config  Metas'!$B$6,"🚨 CIERRE BAJO",IF(P62&lt;D62*'Config  Metas'!$B$15*'Config  Metas'!$B$9,"🔻 UF BAJO RITMO DINÁMICO","✅ DÍA SOBRE RITMO"))))))))</f>
        <v/>
      </c>
      <c r="S62" s="10"/>
      <c r="T62" s="10"/>
      <c r="U62" s="2"/>
      <c r="V62" s="2"/>
      <c r="W62" s="2"/>
      <c r="X62" s="2"/>
      <c r="Y62" s="2"/>
      <c r="Z62" s="2"/>
    </row>
    <row r="63" ht="15.75" customHeight="1">
      <c r="A63" s="3">
        <v>46228.0</v>
      </c>
      <c r="B63" s="4" t="str">
        <f t="shared" si="1"/>
        <v>Sem 9</v>
      </c>
      <c r="C63" s="4" t="str">
        <f t="shared" si="2"/>
        <v>Sábado</v>
      </c>
      <c r="D63" s="11"/>
      <c r="E63" s="11"/>
      <c r="F63" s="11"/>
      <c r="G63" s="6" t="str">
        <f t="shared" si="3"/>
        <v/>
      </c>
      <c r="H63" s="11"/>
      <c r="I63" s="6" t="str">
        <f t="shared" si="4"/>
        <v/>
      </c>
      <c r="J63" s="11"/>
      <c r="K63" s="6" t="str">
        <f t="shared" si="5"/>
        <v/>
      </c>
      <c r="L63" s="11"/>
      <c r="M63" s="6" t="str">
        <f t="shared" si="6"/>
        <v/>
      </c>
      <c r="N63" s="11"/>
      <c r="O63" s="6" t="str">
        <f t="shared" si="7"/>
        <v/>
      </c>
      <c r="P63" s="12"/>
      <c r="Q63" s="8" t="str">
        <f>IF(P63="","",P63*'Config  Metas'!$B$10)</f>
        <v/>
      </c>
      <c r="R63" s="4" t="str">
        <f>IF(COUNTA(D63,E63,F63,H63,J63,L63,N63,P63)=0,"",IF(AND(D63&gt;0,E63/D63&lt;'Config  Metas'!$B$8),"🚨 COBERTURA DE LLAMADOS BAJA",IF(G63&lt;'Config  Metas'!$B$2,"🚨 CONTACTO BAJO",IF(I63&lt;'Config  Metas'!$B$3,"🚨 AGENDAMIENTO BAJO",IF(K63&lt;'Config  Metas'!$B$4,"⚠️ SHOW BAJO",IF(M63&lt;'Config  Metas'!$B$5,"🚨 RESERVA BAJA",IF(O63&lt;'Config  Metas'!$B$6,"🚨 CIERRE BAJO",IF(P63&lt;D63*'Config  Metas'!$B$15*'Config  Metas'!$B$9,"🔻 UF BAJO RITMO DINÁMICO","✅ DÍA SOBRE RITMO"))))))))</f>
        <v/>
      </c>
      <c r="S63" s="10"/>
      <c r="T63" s="10"/>
      <c r="U63" s="2"/>
      <c r="V63" s="2"/>
      <c r="W63" s="2"/>
      <c r="X63" s="2"/>
      <c r="Y63" s="2"/>
      <c r="Z63" s="2"/>
    </row>
    <row r="64" ht="15.75" customHeight="1">
      <c r="A64" s="3">
        <v>46229.0</v>
      </c>
      <c r="B64" s="4" t="str">
        <f t="shared" si="1"/>
        <v>Sem 9</v>
      </c>
      <c r="C64" s="4" t="str">
        <f t="shared" si="2"/>
        <v>Domingo</v>
      </c>
      <c r="D64" s="11"/>
      <c r="E64" s="11"/>
      <c r="F64" s="11"/>
      <c r="G64" s="6" t="str">
        <f t="shared" si="3"/>
        <v/>
      </c>
      <c r="H64" s="11"/>
      <c r="I64" s="6" t="str">
        <f t="shared" si="4"/>
        <v/>
      </c>
      <c r="J64" s="11"/>
      <c r="K64" s="6" t="str">
        <f t="shared" si="5"/>
        <v/>
      </c>
      <c r="L64" s="11"/>
      <c r="M64" s="6" t="str">
        <f t="shared" si="6"/>
        <v/>
      </c>
      <c r="N64" s="11"/>
      <c r="O64" s="6" t="str">
        <f t="shared" si="7"/>
        <v/>
      </c>
      <c r="P64" s="12"/>
      <c r="Q64" s="8" t="str">
        <f>IF(P64="","",P64*'Config  Metas'!$B$10)</f>
        <v/>
      </c>
      <c r="R64" s="4" t="str">
        <f>IF(COUNTA(D64,E64,F64,H64,J64,L64,N64,P64)=0,"",IF(AND(D64&gt;0,E64/D64&lt;'Config  Metas'!$B$8),"🚨 COBERTURA DE LLAMADOS BAJA",IF(G64&lt;'Config  Metas'!$B$2,"🚨 CONTACTO BAJO",IF(I64&lt;'Config  Metas'!$B$3,"🚨 AGENDAMIENTO BAJO",IF(K64&lt;'Config  Metas'!$B$4,"⚠️ SHOW BAJO",IF(M64&lt;'Config  Metas'!$B$5,"🚨 RESERVA BAJA",IF(O64&lt;'Config  Metas'!$B$6,"🚨 CIERRE BAJO",IF(P64&lt;D64*'Config  Metas'!$B$15*'Config  Metas'!$B$9,"🔻 UF BAJO RITMO DINÁMICO","✅ DÍA SOBRE RITMO"))))))))</f>
        <v/>
      </c>
      <c r="S64" s="10"/>
      <c r="T64" s="10"/>
      <c r="U64" s="2"/>
      <c r="V64" s="2"/>
      <c r="W64" s="2"/>
      <c r="X64" s="2"/>
      <c r="Y64" s="2"/>
      <c r="Z64" s="2"/>
    </row>
    <row r="65" ht="15.75" customHeight="1">
      <c r="A65" s="3">
        <v>46230.0</v>
      </c>
      <c r="B65" s="4" t="str">
        <f t="shared" si="1"/>
        <v>Sem 10</v>
      </c>
      <c r="C65" s="4" t="str">
        <f t="shared" si="2"/>
        <v>Lunes</v>
      </c>
      <c r="D65" s="11"/>
      <c r="E65" s="11"/>
      <c r="F65" s="11"/>
      <c r="G65" s="6" t="str">
        <f t="shared" si="3"/>
        <v/>
      </c>
      <c r="H65" s="11"/>
      <c r="I65" s="6" t="str">
        <f t="shared" si="4"/>
        <v/>
      </c>
      <c r="J65" s="11"/>
      <c r="K65" s="6" t="str">
        <f t="shared" si="5"/>
        <v/>
      </c>
      <c r="L65" s="11"/>
      <c r="M65" s="6" t="str">
        <f t="shared" si="6"/>
        <v/>
      </c>
      <c r="N65" s="11"/>
      <c r="O65" s="6" t="str">
        <f t="shared" si="7"/>
        <v/>
      </c>
      <c r="P65" s="12"/>
      <c r="Q65" s="8" t="str">
        <f>IF(P65="","",P65*'Config  Metas'!$B$10)</f>
        <v/>
      </c>
      <c r="R65" s="4" t="str">
        <f>IF(COUNTA(D65,E65,F65,H65,J65,L65,N65,P65)=0,"",IF(AND(D65&gt;0,E65/D65&lt;'Config  Metas'!$B$8),"🚨 COBERTURA DE LLAMADOS BAJA",IF(G65&lt;'Config  Metas'!$B$2,"🚨 CONTACTO BAJO",IF(I65&lt;'Config  Metas'!$B$3,"🚨 AGENDAMIENTO BAJO",IF(K65&lt;'Config  Metas'!$B$4,"⚠️ SHOW BAJO",IF(M65&lt;'Config  Metas'!$B$5,"🚨 RESERVA BAJA",IF(O65&lt;'Config  Metas'!$B$6,"🚨 CIERRE BAJO",IF(P65&lt;D65*'Config  Metas'!$B$15*'Config  Metas'!$B$9,"🔻 UF BAJO RITMO DINÁMICO","✅ DÍA SOBRE RITMO"))))))))</f>
        <v/>
      </c>
      <c r="S65" s="10"/>
      <c r="T65" s="10"/>
      <c r="U65" s="2"/>
      <c r="V65" s="2"/>
      <c r="W65" s="2"/>
      <c r="X65" s="2"/>
      <c r="Y65" s="2"/>
      <c r="Z65" s="2"/>
    </row>
    <row r="66" ht="15.75" customHeight="1">
      <c r="A66" s="3">
        <v>46231.0</v>
      </c>
      <c r="B66" s="4" t="str">
        <f t="shared" si="1"/>
        <v>Sem 10</v>
      </c>
      <c r="C66" s="4" t="str">
        <f t="shared" si="2"/>
        <v>Martes</v>
      </c>
      <c r="D66" s="11"/>
      <c r="E66" s="11"/>
      <c r="F66" s="11"/>
      <c r="G66" s="6" t="str">
        <f t="shared" si="3"/>
        <v/>
      </c>
      <c r="H66" s="11"/>
      <c r="I66" s="6" t="str">
        <f t="shared" si="4"/>
        <v/>
      </c>
      <c r="J66" s="11"/>
      <c r="K66" s="6" t="str">
        <f t="shared" si="5"/>
        <v/>
      </c>
      <c r="L66" s="11"/>
      <c r="M66" s="6" t="str">
        <f t="shared" si="6"/>
        <v/>
      </c>
      <c r="N66" s="11"/>
      <c r="O66" s="6" t="str">
        <f t="shared" si="7"/>
        <v/>
      </c>
      <c r="P66" s="12"/>
      <c r="Q66" s="8" t="str">
        <f>IF(P66="","",P66*'Config  Metas'!$B$10)</f>
        <v/>
      </c>
      <c r="R66" s="4" t="str">
        <f>IF(COUNTA(D66,E66,F66,H66,J66,L66,N66,P66)=0,"",IF(AND(D66&gt;0,E66/D66&lt;'Config  Metas'!$B$8),"🚨 COBERTURA DE LLAMADOS BAJA",IF(G66&lt;'Config  Metas'!$B$2,"🚨 CONTACTO BAJO",IF(I66&lt;'Config  Metas'!$B$3,"🚨 AGENDAMIENTO BAJO",IF(K66&lt;'Config  Metas'!$B$4,"⚠️ SHOW BAJO",IF(M66&lt;'Config  Metas'!$B$5,"🚨 RESERVA BAJA",IF(O66&lt;'Config  Metas'!$B$6,"🚨 CIERRE BAJO",IF(P66&lt;D66*'Config  Metas'!$B$15*'Config  Metas'!$B$9,"🔻 UF BAJO RITMO DINÁMICO","✅ DÍA SOBRE RITMO"))))))))</f>
        <v/>
      </c>
      <c r="S66" s="10"/>
      <c r="T66" s="10"/>
      <c r="U66" s="2"/>
      <c r="V66" s="2"/>
      <c r="W66" s="2"/>
      <c r="X66" s="2"/>
      <c r="Y66" s="2"/>
      <c r="Z66" s="2"/>
    </row>
    <row r="67" ht="15.75" customHeight="1">
      <c r="A67" s="3">
        <v>46232.0</v>
      </c>
      <c r="B67" s="4" t="str">
        <f t="shared" si="1"/>
        <v>Sem 10</v>
      </c>
      <c r="C67" s="4" t="str">
        <f t="shared" si="2"/>
        <v>Miércoles</v>
      </c>
      <c r="D67" s="11"/>
      <c r="E67" s="11"/>
      <c r="F67" s="11"/>
      <c r="G67" s="6" t="str">
        <f t="shared" si="3"/>
        <v/>
      </c>
      <c r="H67" s="11"/>
      <c r="I67" s="6" t="str">
        <f t="shared" si="4"/>
        <v/>
      </c>
      <c r="J67" s="11"/>
      <c r="K67" s="6" t="str">
        <f t="shared" si="5"/>
        <v/>
      </c>
      <c r="L67" s="11"/>
      <c r="M67" s="6" t="str">
        <f t="shared" si="6"/>
        <v/>
      </c>
      <c r="N67" s="11"/>
      <c r="O67" s="6" t="str">
        <f t="shared" si="7"/>
        <v/>
      </c>
      <c r="P67" s="12"/>
      <c r="Q67" s="8" t="str">
        <f>IF(P67="","",P67*'Config  Metas'!$B$10)</f>
        <v/>
      </c>
      <c r="R67" s="4" t="str">
        <f>IF(COUNTA(D67,E67,F67,H67,J67,L67,N67,P67)=0,"",IF(AND(D67&gt;0,E67/D67&lt;'Config  Metas'!$B$8),"🚨 COBERTURA DE LLAMADOS BAJA",IF(G67&lt;'Config  Metas'!$B$2,"🚨 CONTACTO BAJO",IF(I67&lt;'Config  Metas'!$B$3,"🚨 AGENDAMIENTO BAJO",IF(K67&lt;'Config  Metas'!$B$4,"⚠️ SHOW BAJO",IF(M67&lt;'Config  Metas'!$B$5,"🚨 RESERVA BAJA",IF(O67&lt;'Config  Metas'!$B$6,"🚨 CIERRE BAJO",IF(P67&lt;D67*'Config  Metas'!$B$15*'Config  Metas'!$B$9,"🔻 UF BAJO RITMO DINÁMICO","✅ DÍA SOBRE RITMO"))))))))</f>
        <v/>
      </c>
      <c r="S67" s="10"/>
      <c r="T67" s="10"/>
      <c r="U67" s="2"/>
      <c r="V67" s="2"/>
      <c r="W67" s="2"/>
      <c r="X67" s="2"/>
      <c r="Y67" s="2"/>
      <c r="Z67" s="2"/>
    </row>
    <row r="68" ht="15.75" customHeight="1">
      <c r="A68" s="3">
        <v>46233.0</v>
      </c>
      <c r="B68" s="4" t="str">
        <f t="shared" si="1"/>
        <v>Sem 10</v>
      </c>
      <c r="C68" s="4" t="str">
        <f t="shared" si="2"/>
        <v>Jueves</v>
      </c>
      <c r="D68" s="11"/>
      <c r="E68" s="11"/>
      <c r="F68" s="11"/>
      <c r="G68" s="6" t="str">
        <f t="shared" si="3"/>
        <v/>
      </c>
      <c r="H68" s="11"/>
      <c r="I68" s="6" t="str">
        <f t="shared" si="4"/>
        <v/>
      </c>
      <c r="J68" s="11"/>
      <c r="K68" s="6" t="str">
        <f t="shared" si="5"/>
        <v/>
      </c>
      <c r="L68" s="11"/>
      <c r="M68" s="6" t="str">
        <f t="shared" si="6"/>
        <v/>
      </c>
      <c r="N68" s="11"/>
      <c r="O68" s="6" t="str">
        <f t="shared" si="7"/>
        <v/>
      </c>
      <c r="P68" s="12"/>
      <c r="Q68" s="8" t="str">
        <f>IF(P68="","",P68*'Config  Metas'!$B$10)</f>
        <v/>
      </c>
      <c r="R68" s="4" t="str">
        <f>IF(COUNTA(D68,E68,F68,H68,J68,L68,N68,P68)=0,"",IF(AND(D68&gt;0,E68/D68&lt;'Config  Metas'!$B$8),"🚨 COBERTURA DE LLAMADOS BAJA",IF(G68&lt;'Config  Metas'!$B$2,"🚨 CONTACTO BAJO",IF(I68&lt;'Config  Metas'!$B$3,"🚨 AGENDAMIENTO BAJO",IF(K68&lt;'Config  Metas'!$B$4,"⚠️ SHOW BAJO",IF(M68&lt;'Config  Metas'!$B$5,"🚨 RESERVA BAJA",IF(O68&lt;'Config  Metas'!$B$6,"🚨 CIERRE BAJO",IF(P68&lt;D68*'Config  Metas'!$B$15*'Config  Metas'!$B$9,"🔻 UF BAJO RITMO DINÁMICO","✅ DÍA SOBRE RITMO"))))))))</f>
        <v/>
      </c>
      <c r="S68" s="10"/>
      <c r="T68" s="10"/>
      <c r="U68" s="2"/>
      <c r="V68" s="2"/>
      <c r="W68" s="2"/>
      <c r="X68" s="2"/>
      <c r="Y68" s="2"/>
      <c r="Z68" s="2"/>
    </row>
    <row r="69" ht="15.75" customHeight="1">
      <c r="A69" s="3">
        <v>46234.0</v>
      </c>
      <c r="B69" s="4" t="str">
        <f t="shared" si="1"/>
        <v>Sem 10</v>
      </c>
      <c r="C69" s="4" t="str">
        <f t="shared" si="2"/>
        <v>Viernes</v>
      </c>
      <c r="D69" s="11"/>
      <c r="E69" s="11"/>
      <c r="F69" s="11"/>
      <c r="G69" s="6" t="str">
        <f t="shared" si="3"/>
        <v/>
      </c>
      <c r="H69" s="11"/>
      <c r="I69" s="6" t="str">
        <f t="shared" si="4"/>
        <v/>
      </c>
      <c r="J69" s="11"/>
      <c r="K69" s="6" t="str">
        <f t="shared" si="5"/>
        <v/>
      </c>
      <c r="L69" s="11"/>
      <c r="M69" s="6" t="str">
        <f t="shared" si="6"/>
        <v/>
      </c>
      <c r="N69" s="11"/>
      <c r="O69" s="6" t="str">
        <f t="shared" si="7"/>
        <v/>
      </c>
      <c r="P69" s="12"/>
      <c r="Q69" s="8" t="str">
        <f>IF(P69="","",P69*'Config  Metas'!$B$10)</f>
        <v/>
      </c>
      <c r="R69" s="4" t="str">
        <f>IF(COUNTA(D69,E69,F69,H69,J69,L69,N69,P69)=0,"",IF(AND(D69&gt;0,E69/D69&lt;'Config  Metas'!$B$8),"🚨 COBERTURA DE LLAMADOS BAJA",IF(G69&lt;'Config  Metas'!$B$2,"🚨 CONTACTO BAJO",IF(I69&lt;'Config  Metas'!$B$3,"🚨 AGENDAMIENTO BAJO",IF(K69&lt;'Config  Metas'!$B$4,"⚠️ SHOW BAJO",IF(M69&lt;'Config  Metas'!$B$5,"🚨 RESERVA BAJA",IF(O69&lt;'Config  Metas'!$B$6,"🚨 CIERRE BAJO",IF(P69&lt;D69*'Config  Metas'!$B$15*'Config  Metas'!$B$9,"🔻 UF BAJO RITMO DINÁMICO","✅ DÍA SOBRE RITMO"))))))))</f>
        <v/>
      </c>
      <c r="S69" s="10"/>
      <c r="T69" s="10"/>
      <c r="U69" s="2"/>
      <c r="V69" s="2"/>
      <c r="W69" s="2"/>
      <c r="X69" s="2"/>
      <c r="Y69" s="2"/>
      <c r="Z69" s="2"/>
    </row>
    <row r="70" ht="15.75" customHeight="1">
      <c r="A70" s="3">
        <v>46235.0</v>
      </c>
      <c r="B70" s="4" t="str">
        <f t="shared" si="1"/>
        <v>Sem 10</v>
      </c>
      <c r="C70" s="4" t="str">
        <f t="shared" si="2"/>
        <v>Sábado</v>
      </c>
      <c r="D70" s="11"/>
      <c r="E70" s="11"/>
      <c r="F70" s="11"/>
      <c r="G70" s="6" t="str">
        <f t="shared" si="3"/>
        <v/>
      </c>
      <c r="H70" s="11"/>
      <c r="I70" s="6" t="str">
        <f t="shared" si="4"/>
        <v/>
      </c>
      <c r="J70" s="11"/>
      <c r="K70" s="6" t="str">
        <f t="shared" si="5"/>
        <v/>
      </c>
      <c r="L70" s="11"/>
      <c r="M70" s="6" t="str">
        <f t="shared" si="6"/>
        <v/>
      </c>
      <c r="N70" s="11"/>
      <c r="O70" s="6" t="str">
        <f t="shared" si="7"/>
        <v/>
      </c>
      <c r="P70" s="12"/>
      <c r="Q70" s="8" t="str">
        <f>IF(P70="","",P70*'Config  Metas'!$B$10)</f>
        <v/>
      </c>
      <c r="R70" s="4" t="str">
        <f>IF(COUNTA(D70,E70,F70,H70,J70,L70,N70,P70)=0,"",IF(AND(D70&gt;0,E70/D70&lt;'Config  Metas'!$B$8),"🚨 COBERTURA DE LLAMADOS BAJA",IF(G70&lt;'Config  Metas'!$B$2,"🚨 CONTACTO BAJO",IF(I70&lt;'Config  Metas'!$B$3,"🚨 AGENDAMIENTO BAJO",IF(K70&lt;'Config  Metas'!$B$4,"⚠️ SHOW BAJO",IF(M70&lt;'Config  Metas'!$B$5,"🚨 RESERVA BAJA",IF(O70&lt;'Config  Metas'!$B$6,"🚨 CIERRE BAJO",IF(P70&lt;D70*'Config  Metas'!$B$15*'Config  Metas'!$B$9,"🔻 UF BAJO RITMO DINÁMICO","✅ DÍA SOBRE RITMO"))))))))</f>
        <v/>
      </c>
      <c r="S70" s="10"/>
      <c r="T70" s="10"/>
      <c r="U70" s="2"/>
      <c r="V70" s="2"/>
      <c r="W70" s="2"/>
      <c r="X70" s="2"/>
      <c r="Y70" s="2"/>
      <c r="Z70" s="2"/>
    </row>
    <row r="71" ht="15.75" customHeight="1">
      <c r="A71" s="3">
        <v>46236.0</v>
      </c>
      <c r="B71" s="4" t="str">
        <f t="shared" si="1"/>
        <v>Sem 10</v>
      </c>
      <c r="C71" s="4" t="str">
        <f t="shared" si="2"/>
        <v>Domingo</v>
      </c>
      <c r="D71" s="11"/>
      <c r="E71" s="11"/>
      <c r="F71" s="11"/>
      <c r="G71" s="6" t="str">
        <f t="shared" si="3"/>
        <v/>
      </c>
      <c r="H71" s="11"/>
      <c r="I71" s="6" t="str">
        <f t="shared" si="4"/>
        <v/>
      </c>
      <c r="J71" s="11"/>
      <c r="K71" s="6" t="str">
        <f t="shared" si="5"/>
        <v/>
      </c>
      <c r="L71" s="11"/>
      <c r="M71" s="6" t="str">
        <f t="shared" si="6"/>
        <v/>
      </c>
      <c r="N71" s="11"/>
      <c r="O71" s="6" t="str">
        <f t="shared" si="7"/>
        <v/>
      </c>
      <c r="P71" s="12"/>
      <c r="Q71" s="8" t="str">
        <f>IF(P71="","",P71*'Config  Metas'!$B$10)</f>
        <v/>
      </c>
      <c r="R71" s="4" t="str">
        <f>IF(COUNTA(D71,E71,F71,H71,J71,L71,N71,P71)=0,"",IF(AND(D71&gt;0,E71/D71&lt;'Config  Metas'!$B$8),"🚨 COBERTURA DE LLAMADOS BAJA",IF(G71&lt;'Config  Metas'!$B$2,"🚨 CONTACTO BAJO",IF(I71&lt;'Config  Metas'!$B$3,"🚨 AGENDAMIENTO BAJO",IF(K71&lt;'Config  Metas'!$B$4,"⚠️ SHOW BAJO",IF(M71&lt;'Config  Metas'!$B$5,"🚨 RESERVA BAJA",IF(O71&lt;'Config  Metas'!$B$6,"🚨 CIERRE BAJO",IF(P71&lt;D71*'Config  Metas'!$B$15*'Config  Metas'!$B$9,"🔻 UF BAJO RITMO DINÁMICO","✅ DÍA SOBRE RITMO"))))))))</f>
        <v/>
      </c>
      <c r="S71" s="10"/>
      <c r="T71" s="10"/>
      <c r="U71" s="2"/>
      <c r="V71" s="2"/>
      <c r="W71" s="2"/>
      <c r="X71" s="2"/>
      <c r="Y71" s="2"/>
      <c r="Z71" s="2"/>
    </row>
    <row r="72" ht="15.75" customHeight="1">
      <c r="A72" s="3">
        <v>46237.0</v>
      </c>
      <c r="B72" s="4" t="str">
        <f t="shared" si="1"/>
        <v>Sem 11</v>
      </c>
      <c r="C72" s="4" t="str">
        <f t="shared" si="2"/>
        <v>Lunes</v>
      </c>
      <c r="D72" s="11"/>
      <c r="E72" s="11"/>
      <c r="F72" s="11"/>
      <c r="G72" s="6" t="str">
        <f t="shared" si="3"/>
        <v/>
      </c>
      <c r="H72" s="11"/>
      <c r="I72" s="6" t="str">
        <f t="shared" si="4"/>
        <v/>
      </c>
      <c r="J72" s="11"/>
      <c r="K72" s="6" t="str">
        <f t="shared" si="5"/>
        <v/>
      </c>
      <c r="L72" s="11"/>
      <c r="M72" s="6" t="str">
        <f t="shared" si="6"/>
        <v/>
      </c>
      <c r="N72" s="11"/>
      <c r="O72" s="6" t="str">
        <f t="shared" si="7"/>
        <v/>
      </c>
      <c r="P72" s="12"/>
      <c r="Q72" s="8" t="str">
        <f>IF(P72="","",P72*'Config  Metas'!$B$10)</f>
        <v/>
      </c>
      <c r="R72" s="4" t="str">
        <f>IF(COUNTA(D72,E72,F72,H72,J72,L72,N72,P72)=0,"",IF(AND(D72&gt;0,E72/D72&lt;'Config  Metas'!$B$8),"🚨 COBERTURA DE LLAMADOS BAJA",IF(G72&lt;'Config  Metas'!$B$2,"🚨 CONTACTO BAJO",IF(I72&lt;'Config  Metas'!$B$3,"🚨 AGENDAMIENTO BAJO",IF(K72&lt;'Config  Metas'!$B$4,"⚠️ SHOW BAJO",IF(M72&lt;'Config  Metas'!$B$5,"🚨 RESERVA BAJA",IF(O72&lt;'Config  Metas'!$B$6,"🚨 CIERRE BAJO",IF(P72&lt;D72*'Config  Metas'!$B$15*'Config  Metas'!$B$9,"🔻 UF BAJO RITMO DINÁMICO","✅ DÍA SOBRE RITMO"))))))))</f>
        <v/>
      </c>
      <c r="S72" s="10"/>
      <c r="T72" s="10"/>
      <c r="U72" s="2"/>
      <c r="V72" s="2"/>
      <c r="W72" s="2"/>
      <c r="X72" s="2"/>
      <c r="Y72" s="2"/>
      <c r="Z72" s="2"/>
    </row>
    <row r="73" ht="15.75" customHeight="1">
      <c r="A73" s="3">
        <v>46238.0</v>
      </c>
      <c r="B73" s="4" t="str">
        <f t="shared" si="1"/>
        <v>Sem 11</v>
      </c>
      <c r="C73" s="4" t="str">
        <f t="shared" si="2"/>
        <v>Martes</v>
      </c>
      <c r="D73" s="11"/>
      <c r="E73" s="11"/>
      <c r="F73" s="11"/>
      <c r="G73" s="6" t="str">
        <f t="shared" si="3"/>
        <v/>
      </c>
      <c r="H73" s="11"/>
      <c r="I73" s="6" t="str">
        <f t="shared" si="4"/>
        <v/>
      </c>
      <c r="J73" s="11"/>
      <c r="K73" s="6" t="str">
        <f t="shared" si="5"/>
        <v/>
      </c>
      <c r="L73" s="11"/>
      <c r="M73" s="6" t="str">
        <f t="shared" si="6"/>
        <v/>
      </c>
      <c r="N73" s="11"/>
      <c r="O73" s="6" t="str">
        <f t="shared" si="7"/>
        <v/>
      </c>
      <c r="P73" s="12"/>
      <c r="Q73" s="8" t="str">
        <f>IF(P73="","",P73*'Config  Metas'!$B$10)</f>
        <v/>
      </c>
      <c r="R73" s="4" t="str">
        <f>IF(COUNTA(D73,E73,F73,H73,J73,L73,N73,P73)=0,"",IF(AND(D73&gt;0,E73/D73&lt;'Config  Metas'!$B$8),"🚨 COBERTURA DE LLAMADOS BAJA",IF(G73&lt;'Config  Metas'!$B$2,"🚨 CONTACTO BAJO",IF(I73&lt;'Config  Metas'!$B$3,"🚨 AGENDAMIENTO BAJO",IF(K73&lt;'Config  Metas'!$B$4,"⚠️ SHOW BAJO",IF(M73&lt;'Config  Metas'!$B$5,"🚨 RESERVA BAJA",IF(O73&lt;'Config  Metas'!$B$6,"🚨 CIERRE BAJO",IF(P73&lt;D73*'Config  Metas'!$B$15*'Config  Metas'!$B$9,"🔻 UF BAJO RITMO DINÁMICO","✅ DÍA SOBRE RITMO"))))))))</f>
        <v/>
      </c>
      <c r="S73" s="10"/>
      <c r="T73" s="10"/>
      <c r="U73" s="2"/>
      <c r="V73" s="2"/>
      <c r="W73" s="2"/>
      <c r="X73" s="2"/>
      <c r="Y73" s="2"/>
      <c r="Z73" s="2"/>
    </row>
    <row r="74" ht="15.75" customHeight="1">
      <c r="A74" s="3">
        <v>46239.0</v>
      </c>
      <c r="B74" s="4" t="str">
        <f t="shared" si="1"/>
        <v>Sem 11</v>
      </c>
      <c r="C74" s="4" t="str">
        <f t="shared" si="2"/>
        <v>Miércoles</v>
      </c>
      <c r="D74" s="11"/>
      <c r="E74" s="11"/>
      <c r="F74" s="11"/>
      <c r="G74" s="6" t="str">
        <f t="shared" si="3"/>
        <v/>
      </c>
      <c r="H74" s="11"/>
      <c r="I74" s="6" t="str">
        <f t="shared" si="4"/>
        <v/>
      </c>
      <c r="J74" s="11"/>
      <c r="K74" s="6" t="str">
        <f t="shared" si="5"/>
        <v/>
      </c>
      <c r="L74" s="11"/>
      <c r="M74" s="6" t="str">
        <f t="shared" si="6"/>
        <v/>
      </c>
      <c r="N74" s="11"/>
      <c r="O74" s="6" t="str">
        <f t="shared" si="7"/>
        <v/>
      </c>
      <c r="P74" s="12"/>
      <c r="Q74" s="8" t="str">
        <f>IF(P74="","",P74*'Config  Metas'!$B$10)</f>
        <v/>
      </c>
      <c r="R74" s="4" t="str">
        <f>IF(COUNTA(D74,E74,F74,H74,J74,L74,N74,P74)=0,"",IF(AND(D74&gt;0,E74/D74&lt;'Config  Metas'!$B$8),"🚨 COBERTURA DE LLAMADOS BAJA",IF(G74&lt;'Config  Metas'!$B$2,"🚨 CONTACTO BAJO",IF(I74&lt;'Config  Metas'!$B$3,"🚨 AGENDAMIENTO BAJO",IF(K74&lt;'Config  Metas'!$B$4,"⚠️ SHOW BAJO",IF(M74&lt;'Config  Metas'!$B$5,"🚨 RESERVA BAJA",IF(O74&lt;'Config  Metas'!$B$6,"🚨 CIERRE BAJO",IF(P74&lt;D74*'Config  Metas'!$B$15*'Config  Metas'!$B$9,"🔻 UF BAJO RITMO DINÁMICO","✅ DÍA SOBRE RITMO"))))))))</f>
        <v/>
      </c>
      <c r="S74" s="10"/>
      <c r="T74" s="10"/>
      <c r="U74" s="2"/>
      <c r="V74" s="2"/>
      <c r="W74" s="2"/>
      <c r="X74" s="2"/>
      <c r="Y74" s="2"/>
      <c r="Z74" s="2"/>
    </row>
    <row r="75" ht="15.75" customHeight="1">
      <c r="A75" s="3">
        <v>46240.0</v>
      </c>
      <c r="B75" s="4" t="str">
        <f t="shared" si="1"/>
        <v>Sem 11</v>
      </c>
      <c r="C75" s="4" t="str">
        <f t="shared" si="2"/>
        <v>Jueves</v>
      </c>
      <c r="D75" s="11"/>
      <c r="E75" s="11"/>
      <c r="F75" s="11"/>
      <c r="G75" s="6" t="str">
        <f t="shared" si="3"/>
        <v/>
      </c>
      <c r="H75" s="11"/>
      <c r="I75" s="6" t="str">
        <f t="shared" si="4"/>
        <v/>
      </c>
      <c r="J75" s="11"/>
      <c r="K75" s="6" t="str">
        <f t="shared" si="5"/>
        <v/>
      </c>
      <c r="L75" s="11"/>
      <c r="M75" s="6" t="str">
        <f t="shared" si="6"/>
        <v/>
      </c>
      <c r="N75" s="11"/>
      <c r="O75" s="6" t="str">
        <f t="shared" si="7"/>
        <v/>
      </c>
      <c r="P75" s="12"/>
      <c r="Q75" s="8" t="str">
        <f>IF(P75="","",P75*'Config  Metas'!$B$10)</f>
        <v/>
      </c>
      <c r="R75" s="4" t="str">
        <f>IF(COUNTA(D75,E75,F75,H75,J75,L75,N75,P75)=0,"",IF(AND(D75&gt;0,E75/D75&lt;'Config  Metas'!$B$8),"🚨 COBERTURA DE LLAMADOS BAJA",IF(G75&lt;'Config  Metas'!$B$2,"🚨 CONTACTO BAJO",IF(I75&lt;'Config  Metas'!$B$3,"🚨 AGENDAMIENTO BAJO",IF(K75&lt;'Config  Metas'!$B$4,"⚠️ SHOW BAJO",IF(M75&lt;'Config  Metas'!$B$5,"🚨 RESERVA BAJA",IF(O75&lt;'Config  Metas'!$B$6,"🚨 CIERRE BAJO",IF(P75&lt;D75*'Config  Metas'!$B$15*'Config  Metas'!$B$9,"🔻 UF BAJO RITMO DINÁMICO","✅ DÍA SOBRE RITMO"))))))))</f>
        <v/>
      </c>
      <c r="S75" s="10"/>
      <c r="T75" s="10"/>
      <c r="U75" s="2"/>
      <c r="V75" s="2"/>
      <c r="W75" s="2"/>
      <c r="X75" s="2"/>
      <c r="Y75" s="2"/>
      <c r="Z75" s="2"/>
    </row>
    <row r="76" ht="15.75" customHeight="1">
      <c r="A76" s="3">
        <v>46241.0</v>
      </c>
      <c r="B76" s="4" t="str">
        <f t="shared" si="1"/>
        <v>Sem 11</v>
      </c>
      <c r="C76" s="4" t="str">
        <f t="shared" si="2"/>
        <v>Viernes</v>
      </c>
      <c r="D76" s="11"/>
      <c r="E76" s="11"/>
      <c r="F76" s="11"/>
      <c r="G76" s="6" t="str">
        <f t="shared" si="3"/>
        <v/>
      </c>
      <c r="H76" s="11"/>
      <c r="I76" s="6" t="str">
        <f t="shared" si="4"/>
        <v/>
      </c>
      <c r="J76" s="11"/>
      <c r="K76" s="6" t="str">
        <f t="shared" si="5"/>
        <v/>
      </c>
      <c r="L76" s="11"/>
      <c r="M76" s="6" t="str">
        <f t="shared" si="6"/>
        <v/>
      </c>
      <c r="N76" s="11"/>
      <c r="O76" s="6" t="str">
        <f t="shared" si="7"/>
        <v/>
      </c>
      <c r="P76" s="12"/>
      <c r="Q76" s="8" t="str">
        <f>IF(P76="","",P76*'Config  Metas'!$B$10)</f>
        <v/>
      </c>
      <c r="R76" s="4" t="str">
        <f>IF(COUNTA(D76,E76,F76,H76,J76,L76,N76,P76)=0,"",IF(AND(D76&gt;0,E76/D76&lt;'Config  Metas'!$B$8),"🚨 COBERTURA DE LLAMADOS BAJA",IF(G76&lt;'Config  Metas'!$B$2,"🚨 CONTACTO BAJO",IF(I76&lt;'Config  Metas'!$B$3,"🚨 AGENDAMIENTO BAJO",IF(K76&lt;'Config  Metas'!$B$4,"⚠️ SHOW BAJO",IF(M76&lt;'Config  Metas'!$B$5,"🚨 RESERVA BAJA",IF(O76&lt;'Config  Metas'!$B$6,"🚨 CIERRE BAJO",IF(P76&lt;D76*'Config  Metas'!$B$15*'Config  Metas'!$B$9,"🔻 UF BAJO RITMO DINÁMICO","✅ DÍA SOBRE RITMO"))))))))</f>
        <v/>
      </c>
      <c r="S76" s="10"/>
      <c r="T76" s="10"/>
      <c r="U76" s="2"/>
      <c r="V76" s="2"/>
      <c r="W76" s="2"/>
      <c r="X76" s="2"/>
      <c r="Y76" s="2"/>
      <c r="Z76" s="2"/>
    </row>
    <row r="77" ht="15.75" customHeight="1">
      <c r="A77" s="3">
        <v>46242.0</v>
      </c>
      <c r="B77" s="4" t="str">
        <f t="shared" si="1"/>
        <v>Sem 11</v>
      </c>
      <c r="C77" s="4" t="str">
        <f t="shared" si="2"/>
        <v>Sábado</v>
      </c>
      <c r="D77" s="11"/>
      <c r="E77" s="11"/>
      <c r="F77" s="11"/>
      <c r="G77" s="6" t="str">
        <f t="shared" si="3"/>
        <v/>
      </c>
      <c r="H77" s="11"/>
      <c r="I77" s="6" t="str">
        <f t="shared" si="4"/>
        <v/>
      </c>
      <c r="J77" s="11"/>
      <c r="K77" s="6" t="str">
        <f t="shared" si="5"/>
        <v/>
      </c>
      <c r="L77" s="11"/>
      <c r="M77" s="6" t="str">
        <f t="shared" si="6"/>
        <v/>
      </c>
      <c r="N77" s="11"/>
      <c r="O77" s="6" t="str">
        <f t="shared" si="7"/>
        <v/>
      </c>
      <c r="P77" s="12"/>
      <c r="Q77" s="8" t="str">
        <f>IF(P77="","",P77*'Config  Metas'!$B$10)</f>
        <v/>
      </c>
      <c r="R77" s="4" t="str">
        <f>IF(COUNTA(D77,E77,F77,H77,J77,L77,N77,P77)=0,"",IF(AND(D77&gt;0,E77/D77&lt;'Config  Metas'!$B$8),"🚨 COBERTURA DE LLAMADOS BAJA",IF(G77&lt;'Config  Metas'!$B$2,"🚨 CONTACTO BAJO",IF(I77&lt;'Config  Metas'!$B$3,"🚨 AGENDAMIENTO BAJO",IF(K77&lt;'Config  Metas'!$B$4,"⚠️ SHOW BAJO",IF(M77&lt;'Config  Metas'!$B$5,"🚨 RESERVA BAJA",IF(O77&lt;'Config  Metas'!$B$6,"🚨 CIERRE BAJO",IF(P77&lt;D77*'Config  Metas'!$B$15*'Config  Metas'!$B$9,"🔻 UF BAJO RITMO DINÁMICO","✅ DÍA SOBRE RITMO"))))))))</f>
        <v/>
      </c>
      <c r="S77" s="10"/>
      <c r="T77" s="10"/>
      <c r="U77" s="2"/>
      <c r="V77" s="2"/>
      <c r="W77" s="2"/>
      <c r="X77" s="2"/>
      <c r="Y77" s="2"/>
      <c r="Z77" s="2"/>
    </row>
    <row r="78" ht="15.75" customHeight="1">
      <c r="A78" s="3">
        <v>46243.0</v>
      </c>
      <c r="B78" s="4" t="str">
        <f t="shared" si="1"/>
        <v>Sem 11</v>
      </c>
      <c r="C78" s="4" t="str">
        <f t="shared" si="2"/>
        <v>Domingo</v>
      </c>
      <c r="D78" s="11"/>
      <c r="E78" s="11"/>
      <c r="F78" s="11"/>
      <c r="G78" s="6" t="str">
        <f t="shared" si="3"/>
        <v/>
      </c>
      <c r="H78" s="11"/>
      <c r="I78" s="6" t="str">
        <f t="shared" si="4"/>
        <v/>
      </c>
      <c r="J78" s="11"/>
      <c r="K78" s="6" t="str">
        <f t="shared" si="5"/>
        <v/>
      </c>
      <c r="L78" s="11"/>
      <c r="M78" s="6" t="str">
        <f t="shared" si="6"/>
        <v/>
      </c>
      <c r="N78" s="11"/>
      <c r="O78" s="6" t="str">
        <f t="shared" si="7"/>
        <v/>
      </c>
      <c r="P78" s="12"/>
      <c r="Q78" s="8" t="str">
        <f>IF(P78="","",P78*'Config  Metas'!$B$10)</f>
        <v/>
      </c>
      <c r="R78" s="4" t="str">
        <f>IF(COUNTA(D78,E78,F78,H78,J78,L78,N78,P78)=0,"",IF(AND(D78&gt;0,E78/D78&lt;'Config  Metas'!$B$8),"🚨 COBERTURA DE LLAMADOS BAJA",IF(G78&lt;'Config  Metas'!$B$2,"🚨 CONTACTO BAJO",IF(I78&lt;'Config  Metas'!$B$3,"🚨 AGENDAMIENTO BAJO",IF(K78&lt;'Config  Metas'!$B$4,"⚠️ SHOW BAJO",IF(M78&lt;'Config  Metas'!$B$5,"🚨 RESERVA BAJA",IF(O78&lt;'Config  Metas'!$B$6,"🚨 CIERRE BAJO",IF(P78&lt;D78*'Config  Metas'!$B$15*'Config  Metas'!$B$9,"🔻 UF BAJO RITMO DINÁMICO","✅ DÍA SOBRE RITMO"))))))))</f>
        <v/>
      </c>
      <c r="S78" s="10"/>
      <c r="T78" s="10"/>
      <c r="U78" s="2"/>
      <c r="V78" s="2"/>
      <c r="W78" s="2"/>
      <c r="X78" s="2"/>
      <c r="Y78" s="2"/>
      <c r="Z78" s="2"/>
    </row>
    <row r="79" ht="15.75" customHeight="1">
      <c r="A79" s="3">
        <v>46244.0</v>
      </c>
      <c r="B79" s="4" t="str">
        <f t="shared" si="1"/>
        <v>Sem 12</v>
      </c>
      <c r="C79" s="4" t="str">
        <f t="shared" si="2"/>
        <v>Lunes</v>
      </c>
      <c r="D79" s="11"/>
      <c r="E79" s="11"/>
      <c r="F79" s="11"/>
      <c r="G79" s="6" t="str">
        <f t="shared" si="3"/>
        <v/>
      </c>
      <c r="H79" s="11"/>
      <c r="I79" s="6" t="str">
        <f t="shared" si="4"/>
        <v/>
      </c>
      <c r="J79" s="11"/>
      <c r="K79" s="6" t="str">
        <f t="shared" si="5"/>
        <v/>
      </c>
      <c r="L79" s="11"/>
      <c r="M79" s="6" t="str">
        <f t="shared" si="6"/>
        <v/>
      </c>
      <c r="N79" s="11"/>
      <c r="O79" s="6" t="str">
        <f t="shared" si="7"/>
        <v/>
      </c>
      <c r="P79" s="12"/>
      <c r="Q79" s="8" t="str">
        <f>IF(P79="","",P79*'Config  Metas'!$B$10)</f>
        <v/>
      </c>
      <c r="R79" s="4" t="str">
        <f>IF(COUNTA(D79,E79,F79,H79,J79,L79,N79,P79)=0,"",IF(AND(D79&gt;0,E79/D79&lt;'Config  Metas'!$B$8),"🚨 COBERTURA DE LLAMADOS BAJA",IF(G79&lt;'Config  Metas'!$B$2,"🚨 CONTACTO BAJO",IF(I79&lt;'Config  Metas'!$B$3,"🚨 AGENDAMIENTO BAJO",IF(K79&lt;'Config  Metas'!$B$4,"⚠️ SHOW BAJO",IF(M79&lt;'Config  Metas'!$B$5,"🚨 RESERVA BAJA",IF(O79&lt;'Config  Metas'!$B$6,"🚨 CIERRE BAJO",IF(P79&lt;D79*'Config  Metas'!$B$15*'Config  Metas'!$B$9,"🔻 UF BAJO RITMO DINÁMICO","✅ DÍA SOBRE RITMO"))))))))</f>
        <v/>
      </c>
      <c r="S79" s="10"/>
      <c r="T79" s="10"/>
      <c r="U79" s="2"/>
      <c r="V79" s="2"/>
      <c r="W79" s="2"/>
      <c r="X79" s="2"/>
      <c r="Y79" s="2"/>
      <c r="Z79" s="2"/>
    </row>
    <row r="80" ht="15.75" customHeight="1">
      <c r="A80" s="3">
        <v>46245.0</v>
      </c>
      <c r="B80" s="4" t="str">
        <f t="shared" si="1"/>
        <v>Sem 12</v>
      </c>
      <c r="C80" s="4" t="str">
        <f t="shared" si="2"/>
        <v>Martes</v>
      </c>
      <c r="D80" s="11"/>
      <c r="E80" s="11"/>
      <c r="F80" s="11"/>
      <c r="G80" s="6" t="str">
        <f t="shared" si="3"/>
        <v/>
      </c>
      <c r="H80" s="11"/>
      <c r="I80" s="6" t="str">
        <f t="shared" si="4"/>
        <v/>
      </c>
      <c r="J80" s="11"/>
      <c r="K80" s="6" t="str">
        <f t="shared" si="5"/>
        <v/>
      </c>
      <c r="L80" s="11"/>
      <c r="M80" s="6" t="str">
        <f t="shared" si="6"/>
        <v/>
      </c>
      <c r="N80" s="11"/>
      <c r="O80" s="6" t="str">
        <f t="shared" si="7"/>
        <v/>
      </c>
      <c r="P80" s="12"/>
      <c r="Q80" s="8" t="str">
        <f>IF(P80="","",P80*'Config  Metas'!$B$10)</f>
        <v/>
      </c>
      <c r="R80" s="4" t="str">
        <f>IF(COUNTA(D80,E80,F80,H80,J80,L80,N80,P80)=0,"",IF(AND(D80&gt;0,E80/D80&lt;'Config  Metas'!$B$8),"🚨 COBERTURA DE LLAMADOS BAJA",IF(G80&lt;'Config  Metas'!$B$2,"🚨 CONTACTO BAJO",IF(I80&lt;'Config  Metas'!$B$3,"🚨 AGENDAMIENTO BAJO",IF(K80&lt;'Config  Metas'!$B$4,"⚠️ SHOW BAJO",IF(M80&lt;'Config  Metas'!$B$5,"🚨 RESERVA BAJA",IF(O80&lt;'Config  Metas'!$B$6,"🚨 CIERRE BAJO",IF(P80&lt;D80*'Config  Metas'!$B$15*'Config  Metas'!$B$9,"🔻 UF BAJO RITMO DINÁMICO","✅ DÍA SOBRE RITMO"))))))))</f>
        <v/>
      </c>
      <c r="S80" s="10"/>
      <c r="T80" s="10"/>
      <c r="U80" s="2"/>
      <c r="V80" s="2"/>
      <c r="W80" s="2"/>
      <c r="X80" s="2"/>
      <c r="Y80" s="2"/>
      <c r="Z80" s="2"/>
    </row>
    <row r="81" ht="15.75" customHeight="1">
      <c r="A81" s="3">
        <v>46246.0</v>
      </c>
      <c r="B81" s="4" t="str">
        <f t="shared" si="1"/>
        <v>Sem 12</v>
      </c>
      <c r="C81" s="4" t="str">
        <f t="shared" si="2"/>
        <v>Miércoles</v>
      </c>
      <c r="D81" s="11"/>
      <c r="E81" s="11"/>
      <c r="F81" s="11"/>
      <c r="G81" s="6" t="str">
        <f t="shared" si="3"/>
        <v/>
      </c>
      <c r="H81" s="11"/>
      <c r="I81" s="6" t="str">
        <f t="shared" si="4"/>
        <v/>
      </c>
      <c r="J81" s="11"/>
      <c r="K81" s="6" t="str">
        <f t="shared" si="5"/>
        <v/>
      </c>
      <c r="L81" s="11"/>
      <c r="M81" s="6" t="str">
        <f t="shared" si="6"/>
        <v/>
      </c>
      <c r="N81" s="11"/>
      <c r="O81" s="6" t="str">
        <f t="shared" si="7"/>
        <v/>
      </c>
      <c r="P81" s="12"/>
      <c r="Q81" s="8" t="str">
        <f>IF(P81="","",P81*'Config  Metas'!$B$10)</f>
        <v/>
      </c>
      <c r="R81" s="4" t="str">
        <f>IF(COUNTA(D81,E81,F81,H81,J81,L81,N81,P81)=0,"",IF(AND(D81&gt;0,E81/D81&lt;'Config  Metas'!$B$8),"🚨 COBERTURA DE LLAMADOS BAJA",IF(G81&lt;'Config  Metas'!$B$2,"🚨 CONTACTO BAJO",IF(I81&lt;'Config  Metas'!$B$3,"🚨 AGENDAMIENTO BAJO",IF(K81&lt;'Config  Metas'!$B$4,"⚠️ SHOW BAJO",IF(M81&lt;'Config  Metas'!$B$5,"🚨 RESERVA BAJA",IF(O81&lt;'Config  Metas'!$B$6,"🚨 CIERRE BAJO",IF(P81&lt;D81*'Config  Metas'!$B$15*'Config  Metas'!$B$9,"🔻 UF BAJO RITMO DINÁMICO","✅ DÍA SOBRE RITMO"))))))))</f>
        <v/>
      </c>
      <c r="S81" s="10"/>
      <c r="T81" s="10"/>
      <c r="U81" s="2"/>
      <c r="V81" s="2"/>
      <c r="W81" s="2"/>
      <c r="X81" s="2"/>
      <c r="Y81" s="2"/>
      <c r="Z81" s="2"/>
    </row>
    <row r="82" ht="15.75" customHeight="1">
      <c r="A82" s="3">
        <v>46247.0</v>
      </c>
      <c r="B82" s="4" t="str">
        <f t="shared" si="1"/>
        <v>Sem 12</v>
      </c>
      <c r="C82" s="4" t="str">
        <f t="shared" si="2"/>
        <v>Jueves</v>
      </c>
      <c r="D82" s="11"/>
      <c r="E82" s="11"/>
      <c r="F82" s="11"/>
      <c r="G82" s="6" t="str">
        <f t="shared" si="3"/>
        <v/>
      </c>
      <c r="H82" s="11"/>
      <c r="I82" s="6" t="str">
        <f t="shared" si="4"/>
        <v/>
      </c>
      <c r="J82" s="11"/>
      <c r="K82" s="6" t="str">
        <f t="shared" si="5"/>
        <v/>
      </c>
      <c r="L82" s="11"/>
      <c r="M82" s="6" t="str">
        <f t="shared" si="6"/>
        <v/>
      </c>
      <c r="N82" s="11"/>
      <c r="O82" s="6" t="str">
        <f t="shared" si="7"/>
        <v/>
      </c>
      <c r="P82" s="12"/>
      <c r="Q82" s="8" t="str">
        <f>IF(P82="","",P82*'Config  Metas'!$B$10)</f>
        <v/>
      </c>
      <c r="R82" s="4" t="str">
        <f>IF(COUNTA(D82,E82,F82,H82,J82,L82,N82,P82)=0,"",IF(AND(D82&gt;0,E82/D82&lt;'Config  Metas'!$B$8),"🚨 COBERTURA DE LLAMADOS BAJA",IF(G82&lt;'Config  Metas'!$B$2,"🚨 CONTACTO BAJO",IF(I82&lt;'Config  Metas'!$B$3,"🚨 AGENDAMIENTO BAJO",IF(K82&lt;'Config  Metas'!$B$4,"⚠️ SHOW BAJO",IF(M82&lt;'Config  Metas'!$B$5,"🚨 RESERVA BAJA",IF(O82&lt;'Config  Metas'!$B$6,"🚨 CIERRE BAJO",IF(P82&lt;D82*'Config  Metas'!$B$15*'Config  Metas'!$B$9,"🔻 UF BAJO RITMO DINÁMICO","✅ DÍA SOBRE RITMO"))))))))</f>
        <v/>
      </c>
      <c r="S82" s="10"/>
      <c r="T82" s="10"/>
      <c r="U82" s="2"/>
      <c r="V82" s="2"/>
      <c r="W82" s="2"/>
      <c r="X82" s="2"/>
      <c r="Y82" s="2"/>
      <c r="Z82" s="2"/>
    </row>
    <row r="83" ht="15.75" customHeight="1">
      <c r="A83" s="3">
        <v>46248.0</v>
      </c>
      <c r="B83" s="4" t="str">
        <f t="shared" si="1"/>
        <v>Sem 12</v>
      </c>
      <c r="C83" s="4" t="str">
        <f t="shared" si="2"/>
        <v>Viernes</v>
      </c>
      <c r="D83" s="11"/>
      <c r="E83" s="11"/>
      <c r="F83" s="11"/>
      <c r="G83" s="6" t="str">
        <f t="shared" si="3"/>
        <v/>
      </c>
      <c r="H83" s="11"/>
      <c r="I83" s="6" t="str">
        <f t="shared" si="4"/>
        <v/>
      </c>
      <c r="J83" s="11"/>
      <c r="K83" s="6" t="str">
        <f t="shared" si="5"/>
        <v/>
      </c>
      <c r="L83" s="11"/>
      <c r="M83" s="6" t="str">
        <f t="shared" si="6"/>
        <v/>
      </c>
      <c r="N83" s="11"/>
      <c r="O83" s="6" t="str">
        <f t="shared" si="7"/>
        <v/>
      </c>
      <c r="P83" s="12"/>
      <c r="Q83" s="8" t="str">
        <f>IF(P83="","",P83*'Config  Metas'!$B$10)</f>
        <v/>
      </c>
      <c r="R83" s="4" t="str">
        <f>IF(COUNTA(D83,E83,F83,H83,J83,L83,N83,P83)=0,"",IF(AND(D83&gt;0,E83/D83&lt;'Config  Metas'!$B$8),"🚨 COBERTURA DE LLAMADOS BAJA",IF(G83&lt;'Config  Metas'!$B$2,"🚨 CONTACTO BAJO",IF(I83&lt;'Config  Metas'!$B$3,"🚨 AGENDAMIENTO BAJO",IF(K83&lt;'Config  Metas'!$B$4,"⚠️ SHOW BAJO",IF(M83&lt;'Config  Metas'!$B$5,"🚨 RESERVA BAJA",IF(O83&lt;'Config  Metas'!$B$6,"🚨 CIERRE BAJO",IF(P83&lt;D83*'Config  Metas'!$B$15*'Config  Metas'!$B$9,"🔻 UF BAJO RITMO DINÁMICO","✅ DÍA SOBRE RITMO"))))))))</f>
        <v/>
      </c>
      <c r="S83" s="10"/>
      <c r="T83" s="10"/>
      <c r="U83" s="2"/>
      <c r="V83" s="2"/>
      <c r="W83" s="2"/>
      <c r="X83" s="2"/>
      <c r="Y83" s="2"/>
      <c r="Z83" s="2"/>
    </row>
    <row r="84" ht="15.75" customHeight="1">
      <c r="A84" s="3">
        <v>46249.0</v>
      </c>
      <c r="B84" s="4" t="str">
        <f t="shared" si="1"/>
        <v>Sem 12</v>
      </c>
      <c r="C84" s="4" t="str">
        <f t="shared" si="2"/>
        <v>Sábado</v>
      </c>
      <c r="D84" s="11"/>
      <c r="E84" s="11"/>
      <c r="F84" s="11"/>
      <c r="G84" s="6" t="str">
        <f t="shared" si="3"/>
        <v/>
      </c>
      <c r="H84" s="11"/>
      <c r="I84" s="6" t="str">
        <f t="shared" si="4"/>
        <v/>
      </c>
      <c r="J84" s="11"/>
      <c r="K84" s="6" t="str">
        <f t="shared" si="5"/>
        <v/>
      </c>
      <c r="L84" s="11"/>
      <c r="M84" s="6" t="str">
        <f t="shared" si="6"/>
        <v/>
      </c>
      <c r="N84" s="11"/>
      <c r="O84" s="6" t="str">
        <f t="shared" si="7"/>
        <v/>
      </c>
      <c r="P84" s="12"/>
      <c r="Q84" s="8" t="str">
        <f>IF(P84="","",P84*'Config  Metas'!$B$10)</f>
        <v/>
      </c>
      <c r="R84" s="4" t="str">
        <f>IF(COUNTA(D84,E84,F84,H84,J84,L84,N84,P84)=0,"",IF(AND(D84&gt;0,E84/D84&lt;'Config  Metas'!$B$8),"🚨 COBERTURA DE LLAMADOS BAJA",IF(G84&lt;'Config  Metas'!$B$2,"🚨 CONTACTO BAJO",IF(I84&lt;'Config  Metas'!$B$3,"🚨 AGENDAMIENTO BAJO",IF(K84&lt;'Config  Metas'!$B$4,"⚠️ SHOW BAJO",IF(M84&lt;'Config  Metas'!$B$5,"🚨 RESERVA BAJA",IF(O84&lt;'Config  Metas'!$B$6,"🚨 CIERRE BAJO",IF(P84&lt;D84*'Config  Metas'!$B$15*'Config  Metas'!$B$9,"🔻 UF BAJO RITMO DINÁMICO","✅ DÍA SOBRE RITMO"))))))))</f>
        <v/>
      </c>
      <c r="S84" s="10"/>
      <c r="T84" s="10"/>
      <c r="U84" s="2"/>
      <c r="V84" s="2"/>
      <c r="W84" s="2"/>
      <c r="X84" s="2"/>
      <c r="Y84" s="2"/>
      <c r="Z84" s="2"/>
    </row>
    <row r="85" ht="15.75" customHeight="1">
      <c r="A85" s="3">
        <v>46250.0</v>
      </c>
      <c r="B85" s="4" t="str">
        <f t="shared" si="1"/>
        <v>Sem 12</v>
      </c>
      <c r="C85" s="4" t="str">
        <f t="shared" si="2"/>
        <v>Domingo</v>
      </c>
      <c r="D85" s="11"/>
      <c r="E85" s="11"/>
      <c r="F85" s="11"/>
      <c r="G85" s="6" t="str">
        <f t="shared" si="3"/>
        <v/>
      </c>
      <c r="H85" s="11"/>
      <c r="I85" s="6" t="str">
        <f t="shared" si="4"/>
        <v/>
      </c>
      <c r="J85" s="11"/>
      <c r="K85" s="6" t="str">
        <f t="shared" si="5"/>
        <v/>
      </c>
      <c r="L85" s="11"/>
      <c r="M85" s="6" t="str">
        <f t="shared" si="6"/>
        <v/>
      </c>
      <c r="N85" s="11"/>
      <c r="O85" s="6" t="str">
        <f t="shared" si="7"/>
        <v/>
      </c>
      <c r="P85" s="12"/>
      <c r="Q85" s="8" t="str">
        <f>IF(P85="","",P85*'Config  Metas'!$B$10)</f>
        <v/>
      </c>
      <c r="R85" s="4" t="str">
        <f>IF(COUNTA(D85,E85,F85,H85,J85,L85,N85,P85)=0,"",IF(AND(D85&gt;0,E85/D85&lt;'Config  Metas'!$B$8),"🚨 COBERTURA DE LLAMADOS BAJA",IF(G85&lt;'Config  Metas'!$B$2,"🚨 CONTACTO BAJO",IF(I85&lt;'Config  Metas'!$B$3,"🚨 AGENDAMIENTO BAJO",IF(K85&lt;'Config  Metas'!$B$4,"⚠️ SHOW BAJO",IF(M85&lt;'Config  Metas'!$B$5,"🚨 RESERVA BAJA",IF(O85&lt;'Config  Metas'!$B$6,"🚨 CIERRE BAJO",IF(P85&lt;D85*'Config  Metas'!$B$15*'Config  Metas'!$B$9,"🔻 UF BAJO RITMO DINÁMICO","✅ DÍA SOBRE RITMO"))))))))</f>
        <v/>
      </c>
      <c r="S85" s="10"/>
      <c r="T85" s="10"/>
      <c r="U85" s="2"/>
      <c r="V85" s="2"/>
      <c r="W85" s="2"/>
      <c r="X85" s="2"/>
      <c r="Y85" s="2"/>
      <c r="Z85" s="2"/>
    </row>
    <row r="86" ht="15.75" customHeight="1">
      <c r="A86" s="3">
        <v>46251.0</v>
      </c>
      <c r="B86" s="4" t="str">
        <f t="shared" si="1"/>
        <v>Sem 13</v>
      </c>
      <c r="C86" s="4" t="str">
        <f t="shared" si="2"/>
        <v>Lunes</v>
      </c>
      <c r="D86" s="11"/>
      <c r="E86" s="11"/>
      <c r="F86" s="11"/>
      <c r="G86" s="6" t="str">
        <f t="shared" si="3"/>
        <v/>
      </c>
      <c r="H86" s="11"/>
      <c r="I86" s="6" t="str">
        <f t="shared" si="4"/>
        <v/>
      </c>
      <c r="J86" s="11"/>
      <c r="K86" s="6" t="str">
        <f t="shared" si="5"/>
        <v/>
      </c>
      <c r="L86" s="11"/>
      <c r="M86" s="6" t="str">
        <f t="shared" si="6"/>
        <v/>
      </c>
      <c r="N86" s="11"/>
      <c r="O86" s="6" t="str">
        <f t="shared" si="7"/>
        <v/>
      </c>
      <c r="P86" s="12"/>
      <c r="Q86" s="8" t="str">
        <f>IF(P86="","",P86*'Config  Metas'!$B$10)</f>
        <v/>
      </c>
      <c r="R86" s="4" t="str">
        <f>IF(COUNTA(D86,E86,F86,H86,J86,L86,N86,P86)=0,"",IF(AND(D86&gt;0,E86/D86&lt;'Config  Metas'!$B$8),"🚨 COBERTURA DE LLAMADOS BAJA",IF(G86&lt;'Config  Metas'!$B$2,"🚨 CONTACTO BAJO",IF(I86&lt;'Config  Metas'!$B$3,"🚨 AGENDAMIENTO BAJO",IF(K86&lt;'Config  Metas'!$B$4,"⚠️ SHOW BAJO",IF(M86&lt;'Config  Metas'!$B$5,"🚨 RESERVA BAJA",IF(O86&lt;'Config  Metas'!$B$6,"🚨 CIERRE BAJO",IF(P86&lt;D86*'Config  Metas'!$B$15*'Config  Metas'!$B$9,"🔻 UF BAJO RITMO DINÁMICO","✅ DÍA SOBRE RITMO"))))))))</f>
        <v/>
      </c>
      <c r="S86" s="10"/>
      <c r="T86" s="10"/>
      <c r="U86" s="2"/>
      <c r="V86" s="2"/>
      <c r="W86" s="2"/>
      <c r="X86" s="2"/>
      <c r="Y86" s="2"/>
      <c r="Z86" s="2"/>
    </row>
    <row r="87" ht="15.75" customHeight="1">
      <c r="A87" s="3">
        <v>46252.0</v>
      </c>
      <c r="B87" s="4" t="str">
        <f t="shared" si="1"/>
        <v>Sem 13</v>
      </c>
      <c r="C87" s="4" t="str">
        <f t="shared" si="2"/>
        <v>Martes</v>
      </c>
      <c r="D87" s="11"/>
      <c r="E87" s="11"/>
      <c r="F87" s="11"/>
      <c r="G87" s="6" t="str">
        <f t="shared" si="3"/>
        <v/>
      </c>
      <c r="H87" s="11"/>
      <c r="I87" s="6" t="str">
        <f t="shared" si="4"/>
        <v/>
      </c>
      <c r="J87" s="11"/>
      <c r="K87" s="6" t="str">
        <f t="shared" si="5"/>
        <v/>
      </c>
      <c r="L87" s="11"/>
      <c r="M87" s="6" t="str">
        <f t="shared" si="6"/>
        <v/>
      </c>
      <c r="N87" s="11"/>
      <c r="O87" s="6" t="str">
        <f t="shared" si="7"/>
        <v/>
      </c>
      <c r="P87" s="12"/>
      <c r="Q87" s="8" t="str">
        <f>IF(P87="","",P87*'Config  Metas'!$B$10)</f>
        <v/>
      </c>
      <c r="R87" s="4" t="str">
        <f>IF(COUNTA(D87,E87,F87,H87,J87,L87,N87,P87)=0,"",IF(AND(D87&gt;0,E87/D87&lt;'Config  Metas'!$B$8),"🚨 COBERTURA DE LLAMADOS BAJA",IF(G87&lt;'Config  Metas'!$B$2,"🚨 CONTACTO BAJO",IF(I87&lt;'Config  Metas'!$B$3,"🚨 AGENDAMIENTO BAJO",IF(K87&lt;'Config  Metas'!$B$4,"⚠️ SHOW BAJO",IF(M87&lt;'Config  Metas'!$B$5,"🚨 RESERVA BAJA",IF(O87&lt;'Config  Metas'!$B$6,"🚨 CIERRE BAJO",IF(P87&lt;D87*'Config  Metas'!$B$15*'Config  Metas'!$B$9,"🔻 UF BAJO RITMO DINÁMICO","✅ DÍA SOBRE RITMO"))))))))</f>
        <v/>
      </c>
      <c r="S87" s="10"/>
      <c r="T87" s="10"/>
      <c r="U87" s="2"/>
      <c r="V87" s="2"/>
      <c r="W87" s="2"/>
      <c r="X87" s="2"/>
      <c r="Y87" s="2"/>
      <c r="Z87" s="2"/>
    </row>
    <row r="88" ht="15.75" customHeight="1">
      <c r="A88" s="3">
        <v>46253.0</v>
      </c>
      <c r="B88" s="4" t="str">
        <f t="shared" si="1"/>
        <v>Sem 13</v>
      </c>
      <c r="C88" s="4" t="str">
        <f t="shared" si="2"/>
        <v>Miércoles</v>
      </c>
      <c r="D88" s="11"/>
      <c r="E88" s="11"/>
      <c r="F88" s="11"/>
      <c r="G88" s="6" t="str">
        <f t="shared" si="3"/>
        <v/>
      </c>
      <c r="H88" s="11"/>
      <c r="I88" s="6" t="str">
        <f t="shared" si="4"/>
        <v/>
      </c>
      <c r="J88" s="11"/>
      <c r="K88" s="6" t="str">
        <f t="shared" si="5"/>
        <v/>
      </c>
      <c r="L88" s="11"/>
      <c r="M88" s="6" t="str">
        <f t="shared" si="6"/>
        <v/>
      </c>
      <c r="N88" s="11"/>
      <c r="O88" s="6" t="str">
        <f t="shared" si="7"/>
        <v/>
      </c>
      <c r="P88" s="12"/>
      <c r="Q88" s="8" t="str">
        <f>IF(P88="","",P88*'Config  Metas'!$B$10)</f>
        <v/>
      </c>
      <c r="R88" s="4" t="str">
        <f>IF(COUNTA(D88,E88,F88,H88,J88,L88,N88,P88)=0,"",IF(AND(D88&gt;0,E88/D88&lt;'Config  Metas'!$B$8),"🚨 COBERTURA DE LLAMADOS BAJA",IF(G88&lt;'Config  Metas'!$B$2,"🚨 CONTACTO BAJO",IF(I88&lt;'Config  Metas'!$B$3,"🚨 AGENDAMIENTO BAJO",IF(K88&lt;'Config  Metas'!$B$4,"⚠️ SHOW BAJO",IF(M88&lt;'Config  Metas'!$B$5,"🚨 RESERVA BAJA",IF(O88&lt;'Config  Metas'!$B$6,"🚨 CIERRE BAJO",IF(P88&lt;D88*'Config  Metas'!$B$15*'Config  Metas'!$B$9,"🔻 UF BAJO RITMO DINÁMICO","✅ DÍA SOBRE RITMO"))))))))</f>
        <v/>
      </c>
      <c r="S88" s="10"/>
      <c r="T88" s="10"/>
      <c r="U88" s="2"/>
      <c r="V88" s="2"/>
      <c r="W88" s="2"/>
      <c r="X88" s="2"/>
      <c r="Y88" s="2"/>
      <c r="Z88" s="2"/>
    </row>
    <row r="89" ht="15.75" customHeight="1">
      <c r="A89" s="3">
        <v>46254.0</v>
      </c>
      <c r="B89" s="4" t="str">
        <f t="shared" si="1"/>
        <v>Sem 13</v>
      </c>
      <c r="C89" s="4" t="str">
        <f t="shared" si="2"/>
        <v>Jueves</v>
      </c>
      <c r="D89" s="11"/>
      <c r="E89" s="11"/>
      <c r="F89" s="11"/>
      <c r="G89" s="6" t="str">
        <f t="shared" si="3"/>
        <v/>
      </c>
      <c r="H89" s="11"/>
      <c r="I89" s="6" t="str">
        <f t="shared" si="4"/>
        <v/>
      </c>
      <c r="J89" s="11"/>
      <c r="K89" s="6" t="str">
        <f t="shared" si="5"/>
        <v/>
      </c>
      <c r="L89" s="11"/>
      <c r="M89" s="6" t="str">
        <f t="shared" si="6"/>
        <v/>
      </c>
      <c r="N89" s="11"/>
      <c r="O89" s="6" t="str">
        <f t="shared" si="7"/>
        <v/>
      </c>
      <c r="P89" s="12"/>
      <c r="Q89" s="8" t="str">
        <f>IF(P89="","",P89*'Config  Metas'!$B$10)</f>
        <v/>
      </c>
      <c r="R89" s="4" t="str">
        <f>IF(COUNTA(D89,E89,F89,H89,J89,L89,N89,P89)=0,"",IF(AND(D89&gt;0,E89/D89&lt;'Config  Metas'!$B$8),"🚨 COBERTURA DE LLAMADOS BAJA",IF(G89&lt;'Config  Metas'!$B$2,"🚨 CONTACTO BAJO",IF(I89&lt;'Config  Metas'!$B$3,"🚨 AGENDAMIENTO BAJO",IF(K89&lt;'Config  Metas'!$B$4,"⚠️ SHOW BAJO",IF(M89&lt;'Config  Metas'!$B$5,"🚨 RESERVA BAJA",IF(O89&lt;'Config  Metas'!$B$6,"🚨 CIERRE BAJO",IF(P89&lt;D89*'Config  Metas'!$B$15*'Config  Metas'!$B$9,"🔻 UF BAJO RITMO DINÁMICO","✅ DÍA SOBRE RITMO"))))))))</f>
        <v/>
      </c>
      <c r="S89" s="10"/>
      <c r="T89" s="10"/>
      <c r="U89" s="2"/>
      <c r="V89" s="2"/>
      <c r="W89" s="2"/>
      <c r="X89" s="2"/>
      <c r="Y89" s="2"/>
      <c r="Z89" s="2"/>
    </row>
    <row r="90" ht="15.75" customHeight="1">
      <c r="A90" s="3">
        <v>46255.0</v>
      </c>
      <c r="B90" s="4" t="str">
        <f t="shared" si="1"/>
        <v>Sem 13</v>
      </c>
      <c r="C90" s="4" t="str">
        <f t="shared" si="2"/>
        <v>Viernes</v>
      </c>
      <c r="D90" s="11"/>
      <c r="E90" s="11"/>
      <c r="F90" s="11"/>
      <c r="G90" s="6" t="str">
        <f t="shared" si="3"/>
        <v/>
      </c>
      <c r="H90" s="11"/>
      <c r="I90" s="6" t="str">
        <f t="shared" si="4"/>
        <v/>
      </c>
      <c r="J90" s="11"/>
      <c r="K90" s="6" t="str">
        <f t="shared" si="5"/>
        <v/>
      </c>
      <c r="L90" s="11"/>
      <c r="M90" s="6" t="str">
        <f t="shared" si="6"/>
        <v/>
      </c>
      <c r="N90" s="11"/>
      <c r="O90" s="6" t="str">
        <f t="shared" si="7"/>
        <v/>
      </c>
      <c r="P90" s="12"/>
      <c r="Q90" s="8" t="str">
        <f>IF(P90="","",P90*'Config  Metas'!$B$10)</f>
        <v/>
      </c>
      <c r="R90" s="4" t="str">
        <f>IF(COUNTA(D90,E90,F90,H90,J90,L90,N90,P90)=0,"",IF(AND(D90&gt;0,E90/D90&lt;'Config  Metas'!$B$8),"🚨 COBERTURA DE LLAMADOS BAJA",IF(G90&lt;'Config  Metas'!$B$2,"🚨 CONTACTO BAJO",IF(I90&lt;'Config  Metas'!$B$3,"🚨 AGENDAMIENTO BAJO",IF(K90&lt;'Config  Metas'!$B$4,"⚠️ SHOW BAJO",IF(M90&lt;'Config  Metas'!$B$5,"🚨 RESERVA BAJA",IF(O90&lt;'Config  Metas'!$B$6,"🚨 CIERRE BAJO",IF(P90&lt;D90*'Config  Metas'!$B$15*'Config  Metas'!$B$9,"🔻 UF BAJO RITMO DINÁMICO","✅ DÍA SOBRE RITMO"))))))))</f>
        <v/>
      </c>
      <c r="S90" s="10"/>
      <c r="T90" s="10"/>
      <c r="U90" s="2"/>
      <c r="V90" s="2"/>
      <c r="W90" s="2"/>
      <c r="X90" s="2"/>
      <c r="Y90" s="2"/>
      <c r="Z90" s="2"/>
    </row>
    <row r="91" ht="15.75" customHeight="1">
      <c r="A91" s="3">
        <v>46256.0</v>
      </c>
      <c r="B91" s="4" t="str">
        <f t="shared" si="1"/>
        <v>Sem 13</v>
      </c>
      <c r="C91" s="4" t="str">
        <f t="shared" si="2"/>
        <v>Sábado</v>
      </c>
      <c r="D91" s="11"/>
      <c r="E91" s="11"/>
      <c r="F91" s="11"/>
      <c r="G91" s="6" t="str">
        <f t="shared" si="3"/>
        <v/>
      </c>
      <c r="H91" s="11"/>
      <c r="I91" s="6" t="str">
        <f t="shared" si="4"/>
        <v/>
      </c>
      <c r="J91" s="11"/>
      <c r="K91" s="6" t="str">
        <f t="shared" si="5"/>
        <v/>
      </c>
      <c r="L91" s="11"/>
      <c r="M91" s="6" t="str">
        <f t="shared" si="6"/>
        <v/>
      </c>
      <c r="N91" s="11"/>
      <c r="O91" s="6" t="str">
        <f t="shared" si="7"/>
        <v/>
      </c>
      <c r="P91" s="12"/>
      <c r="Q91" s="8" t="str">
        <f>IF(P91="","",P91*'Config  Metas'!$B$10)</f>
        <v/>
      </c>
      <c r="R91" s="4" t="str">
        <f>IF(COUNTA(D91,E91,F91,H91,J91,L91,N91,P91)=0,"",IF(AND(D91&gt;0,E91/D91&lt;'Config  Metas'!$B$8),"🚨 COBERTURA DE LLAMADOS BAJA",IF(G91&lt;'Config  Metas'!$B$2,"🚨 CONTACTO BAJO",IF(I91&lt;'Config  Metas'!$B$3,"🚨 AGENDAMIENTO BAJO",IF(K91&lt;'Config  Metas'!$B$4,"⚠️ SHOW BAJO",IF(M91&lt;'Config  Metas'!$B$5,"🚨 RESERVA BAJA",IF(O91&lt;'Config  Metas'!$B$6,"🚨 CIERRE BAJO",IF(P91&lt;D91*'Config  Metas'!$B$15*'Config  Metas'!$B$9,"🔻 UF BAJO RITMO DINÁMICO","✅ DÍA SOBRE RITMO"))))))))</f>
        <v/>
      </c>
      <c r="S91" s="10"/>
      <c r="T91" s="10"/>
      <c r="U91" s="2"/>
      <c r="V91" s="2"/>
      <c r="W91" s="2"/>
      <c r="X91" s="2"/>
      <c r="Y91" s="2"/>
      <c r="Z91" s="2"/>
    </row>
    <row r="92" ht="15.75" customHeight="1">
      <c r="A92" s="3">
        <v>46257.0</v>
      </c>
      <c r="B92" s="4" t="str">
        <f t="shared" si="1"/>
        <v>Sem 13</v>
      </c>
      <c r="C92" s="4" t="str">
        <f t="shared" si="2"/>
        <v>Domingo</v>
      </c>
      <c r="D92" s="11"/>
      <c r="E92" s="11"/>
      <c r="F92" s="11"/>
      <c r="G92" s="6" t="str">
        <f t="shared" si="3"/>
        <v/>
      </c>
      <c r="H92" s="11"/>
      <c r="I92" s="6" t="str">
        <f t="shared" si="4"/>
        <v/>
      </c>
      <c r="J92" s="11"/>
      <c r="K92" s="6" t="str">
        <f t="shared" si="5"/>
        <v/>
      </c>
      <c r="L92" s="11"/>
      <c r="M92" s="6" t="str">
        <f t="shared" si="6"/>
        <v/>
      </c>
      <c r="N92" s="11"/>
      <c r="O92" s="6" t="str">
        <f t="shared" si="7"/>
        <v/>
      </c>
      <c r="P92" s="12"/>
      <c r="Q92" s="8" t="str">
        <f>IF(P92="","",P92*'Config  Metas'!$B$10)</f>
        <v/>
      </c>
      <c r="R92" s="4" t="str">
        <f>IF(COUNTA(D92,E92,F92,H92,J92,L92,N92,P92)=0,"",IF(AND(D92&gt;0,E92/D92&lt;'Config  Metas'!$B$8),"🚨 COBERTURA DE LLAMADOS BAJA",IF(G92&lt;'Config  Metas'!$B$2,"🚨 CONTACTO BAJO",IF(I92&lt;'Config  Metas'!$B$3,"🚨 AGENDAMIENTO BAJO",IF(K92&lt;'Config  Metas'!$B$4,"⚠️ SHOW BAJO",IF(M92&lt;'Config  Metas'!$B$5,"🚨 RESERVA BAJA",IF(O92&lt;'Config  Metas'!$B$6,"🚨 CIERRE BAJO",IF(P92&lt;D92*'Config  Metas'!$B$15*'Config  Metas'!$B$9,"🔻 UF BAJO RITMO DINÁMICO","✅ DÍA SOBRE RITMO"))))))))</f>
        <v/>
      </c>
      <c r="S92" s="10"/>
      <c r="T92" s="10"/>
      <c r="U92" s="2"/>
      <c r="V92" s="2"/>
      <c r="W92" s="2"/>
      <c r="X92" s="2"/>
      <c r="Y92" s="2"/>
      <c r="Z92" s="2"/>
    </row>
    <row r="93" ht="15.75" customHeight="1">
      <c r="A93" s="3">
        <v>46258.0</v>
      </c>
      <c r="B93" s="4" t="str">
        <f t="shared" si="1"/>
        <v>Sem 14</v>
      </c>
      <c r="C93" s="4" t="str">
        <f t="shared" si="2"/>
        <v>Lunes</v>
      </c>
      <c r="D93" s="11"/>
      <c r="E93" s="11"/>
      <c r="F93" s="11"/>
      <c r="G93" s="6" t="str">
        <f t="shared" si="3"/>
        <v/>
      </c>
      <c r="H93" s="11"/>
      <c r="I93" s="6" t="str">
        <f t="shared" si="4"/>
        <v/>
      </c>
      <c r="J93" s="11"/>
      <c r="K93" s="6" t="str">
        <f t="shared" si="5"/>
        <v/>
      </c>
      <c r="L93" s="11"/>
      <c r="M93" s="6" t="str">
        <f t="shared" si="6"/>
        <v/>
      </c>
      <c r="N93" s="11"/>
      <c r="O93" s="6" t="str">
        <f t="shared" si="7"/>
        <v/>
      </c>
      <c r="P93" s="12"/>
      <c r="Q93" s="8" t="str">
        <f>IF(P93="","",P93*'Config  Metas'!$B$10)</f>
        <v/>
      </c>
      <c r="R93" s="4" t="str">
        <f>IF(COUNTA(D93,E93,F93,H93,J93,L93,N93,P93)=0,"",IF(AND(D93&gt;0,E93/D93&lt;'Config  Metas'!$B$8),"🚨 COBERTURA DE LLAMADOS BAJA",IF(G93&lt;'Config  Metas'!$B$2,"🚨 CONTACTO BAJO",IF(I93&lt;'Config  Metas'!$B$3,"🚨 AGENDAMIENTO BAJO",IF(K93&lt;'Config  Metas'!$B$4,"⚠️ SHOW BAJO",IF(M93&lt;'Config  Metas'!$B$5,"🚨 RESERVA BAJA",IF(O93&lt;'Config  Metas'!$B$6,"🚨 CIERRE BAJO",IF(P93&lt;D93*'Config  Metas'!$B$15*'Config  Metas'!$B$9,"🔻 UF BAJO RITMO DINÁMICO","✅ DÍA SOBRE RITMO"))))))))</f>
        <v/>
      </c>
      <c r="S93" s="10"/>
      <c r="T93" s="10"/>
      <c r="U93" s="2"/>
      <c r="V93" s="2"/>
      <c r="W93" s="2"/>
      <c r="X93" s="2"/>
      <c r="Y93" s="2"/>
      <c r="Z93" s="2"/>
    </row>
    <row r="94" ht="15.75" customHeight="1">
      <c r="A94" s="3">
        <v>46259.0</v>
      </c>
      <c r="B94" s="4" t="str">
        <f t="shared" si="1"/>
        <v>Sem 14</v>
      </c>
      <c r="C94" s="4" t="str">
        <f t="shared" si="2"/>
        <v>Martes</v>
      </c>
      <c r="D94" s="11"/>
      <c r="E94" s="11"/>
      <c r="F94" s="11"/>
      <c r="G94" s="6" t="str">
        <f t="shared" si="3"/>
        <v/>
      </c>
      <c r="H94" s="11"/>
      <c r="I94" s="6" t="str">
        <f t="shared" si="4"/>
        <v/>
      </c>
      <c r="J94" s="11"/>
      <c r="K94" s="6" t="str">
        <f t="shared" si="5"/>
        <v/>
      </c>
      <c r="L94" s="11"/>
      <c r="M94" s="6" t="str">
        <f t="shared" si="6"/>
        <v/>
      </c>
      <c r="N94" s="11"/>
      <c r="O94" s="6" t="str">
        <f t="shared" si="7"/>
        <v/>
      </c>
      <c r="P94" s="12"/>
      <c r="Q94" s="8" t="str">
        <f>IF(P94="","",P94*'Config  Metas'!$B$10)</f>
        <v/>
      </c>
      <c r="R94" s="4" t="str">
        <f>IF(COUNTA(D94,E94,F94,H94,J94,L94,N94,P94)=0,"",IF(AND(D94&gt;0,E94/D94&lt;'Config  Metas'!$B$8),"🚨 COBERTURA DE LLAMADOS BAJA",IF(G94&lt;'Config  Metas'!$B$2,"🚨 CONTACTO BAJO",IF(I94&lt;'Config  Metas'!$B$3,"🚨 AGENDAMIENTO BAJO",IF(K94&lt;'Config  Metas'!$B$4,"⚠️ SHOW BAJO",IF(M94&lt;'Config  Metas'!$B$5,"🚨 RESERVA BAJA",IF(O94&lt;'Config  Metas'!$B$6,"🚨 CIERRE BAJO",IF(P94&lt;D94*'Config  Metas'!$B$15*'Config  Metas'!$B$9,"🔻 UF BAJO RITMO DINÁMICO","✅ DÍA SOBRE RITMO"))))))))</f>
        <v/>
      </c>
      <c r="S94" s="10"/>
      <c r="T94" s="10"/>
      <c r="U94" s="2"/>
      <c r="V94" s="2"/>
      <c r="W94" s="2"/>
      <c r="X94" s="2"/>
      <c r="Y94" s="2"/>
      <c r="Z94" s="2"/>
    </row>
    <row r="95" ht="15.75" customHeight="1">
      <c r="A95" s="3">
        <v>46260.0</v>
      </c>
      <c r="B95" s="4" t="str">
        <f t="shared" si="1"/>
        <v>Sem 14</v>
      </c>
      <c r="C95" s="4" t="str">
        <f t="shared" si="2"/>
        <v>Miércoles</v>
      </c>
      <c r="D95" s="11"/>
      <c r="E95" s="11"/>
      <c r="F95" s="11"/>
      <c r="G95" s="6" t="str">
        <f t="shared" si="3"/>
        <v/>
      </c>
      <c r="H95" s="11"/>
      <c r="I95" s="6" t="str">
        <f t="shared" si="4"/>
        <v/>
      </c>
      <c r="J95" s="11"/>
      <c r="K95" s="6" t="str">
        <f t="shared" si="5"/>
        <v/>
      </c>
      <c r="L95" s="11"/>
      <c r="M95" s="6" t="str">
        <f t="shared" si="6"/>
        <v/>
      </c>
      <c r="N95" s="11"/>
      <c r="O95" s="6" t="str">
        <f t="shared" si="7"/>
        <v/>
      </c>
      <c r="P95" s="12"/>
      <c r="Q95" s="8" t="str">
        <f>IF(P95="","",P95*'Config  Metas'!$B$10)</f>
        <v/>
      </c>
      <c r="R95" s="4" t="str">
        <f>IF(COUNTA(D95,E95,F95,H95,J95,L95,N95,P95)=0,"",IF(AND(D95&gt;0,E95/D95&lt;'Config  Metas'!$B$8),"🚨 COBERTURA DE LLAMADOS BAJA",IF(G95&lt;'Config  Metas'!$B$2,"🚨 CONTACTO BAJO",IF(I95&lt;'Config  Metas'!$B$3,"🚨 AGENDAMIENTO BAJO",IF(K95&lt;'Config  Metas'!$B$4,"⚠️ SHOW BAJO",IF(M95&lt;'Config  Metas'!$B$5,"🚨 RESERVA BAJA",IF(O95&lt;'Config  Metas'!$B$6,"🚨 CIERRE BAJO",IF(P95&lt;D95*'Config  Metas'!$B$15*'Config  Metas'!$B$9,"🔻 UF BAJO RITMO DINÁMICO","✅ DÍA SOBRE RITMO"))))))))</f>
        <v/>
      </c>
      <c r="S95" s="10"/>
      <c r="T95" s="10"/>
      <c r="U95" s="2"/>
      <c r="V95" s="2"/>
      <c r="W95" s="2"/>
      <c r="X95" s="2"/>
      <c r="Y95" s="2"/>
      <c r="Z95" s="2"/>
    </row>
    <row r="96" ht="15.75" customHeight="1">
      <c r="A96" s="3">
        <v>46261.0</v>
      </c>
      <c r="B96" s="4" t="str">
        <f t="shared" si="1"/>
        <v>Sem 14</v>
      </c>
      <c r="C96" s="4" t="str">
        <f t="shared" si="2"/>
        <v>Jueves</v>
      </c>
      <c r="D96" s="11"/>
      <c r="E96" s="11"/>
      <c r="F96" s="11"/>
      <c r="G96" s="6" t="str">
        <f t="shared" si="3"/>
        <v/>
      </c>
      <c r="H96" s="11"/>
      <c r="I96" s="6" t="str">
        <f t="shared" si="4"/>
        <v/>
      </c>
      <c r="J96" s="11"/>
      <c r="K96" s="6" t="str">
        <f t="shared" si="5"/>
        <v/>
      </c>
      <c r="L96" s="11"/>
      <c r="M96" s="6" t="str">
        <f t="shared" si="6"/>
        <v/>
      </c>
      <c r="N96" s="11"/>
      <c r="O96" s="6" t="str">
        <f t="shared" si="7"/>
        <v/>
      </c>
      <c r="P96" s="12"/>
      <c r="Q96" s="8" t="str">
        <f>IF(P96="","",P96*'Config  Metas'!$B$10)</f>
        <v/>
      </c>
      <c r="R96" s="4" t="str">
        <f>IF(COUNTA(D96,E96,F96,H96,J96,L96,N96,P96)=0,"",IF(AND(D96&gt;0,E96/D96&lt;'Config  Metas'!$B$8),"🚨 COBERTURA DE LLAMADOS BAJA",IF(G96&lt;'Config  Metas'!$B$2,"🚨 CONTACTO BAJO",IF(I96&lt;'Config  Metas'!$B$3,"🚨 AGENDAMIENTO BAJO",IF(K96&lt;'Config  Metas'!$B$4,"⚠️ SHOW BAJO",IF(M96&lt;'Config  Metas'!$B$5,"🚨 RESERVA BAJA",IF(O96&lt;'Config  Metas'!$B$6,"🚨 CIERRE BAJO",IF(P96&lt;D96*'Config  Metas'!$B$15*'Config  Metas'!$B$9,"🔻 UF BAJO RITMO DINÁMICO","✅ DÍA SOBRE RITMO"))))))))</f>
        <v/>
      </c>
      <c r="S96" s="10"/>
      <c r="T96" s="10"/>
      <c r="U96" s="2"/>
      <c r="V96" s="2"/>
      <c r="W96" s="2"/>
      <c r="X96" s="2"/>
      <c r="Y96" s="2"/>
      <c r="Z96" s="2"/>
    </row>
    <row r="97" ht="15.75" customHeight="1">
      <c r="A97" s="3">
        <v>46262.0</v>
      </c>
      <c r="B97" s="4" t="str">
        <f t="shared" si="1"/>
        <v>Sem 14</v>
      </c>
      <c r="C97" s="4" t="str">
        <f t="shared" si="2"/>
        <v>Viernes</v>
      </c>
      <c r="D97" s="11"/>
      <c r="E97" s="11"/>
      <c r="F97" s="11"/>
      <c r="G97" s="6" t="str">
        <f t="shared" si="3"/>
        <v/>
      </c>
      <c r="H97" s="11"/>
      <c r="I97" s="6" t="str">
        <f t="shared" si="4"/>
        <v/>
      </c>
      <c r="J97" s="11"/>
      <c r="K97" s="6" t="str">
        <f t="shared" si="5"/>
        <v/>
      </c>
      <c r="L97" s="11"/>
      <c r="M97" s="6" t="str">
        <f t="shared" si="6"/>
        <v/>
      </c>
      <c r="N97" s="11"/>
      <c r="O97" s="6" t="str">
        <f t="shared" si="7"/>
        <v/>
      </c>
      <c r="P97" s="12"/>
      <c r="Q97" s="8" t="str">
        <f>IF(P97="","",P97*'Config  Metas'!$B$10)</f>
        <v/>
      </c>
      <c r="R97" s="4" t="str">
        <f>IF(COUNTA(D97,E97,F97,H97,J97,L97,N97,P97)=0,"",IF(AND(D97&gt;0,E97/D97&lt;'Config  Metas'!$B$8),"🚨 COBERTURA DE LLAMADOS BAJA",IF(G97&lt;'Config  Metas'!$B$2,"🚨 CONTACTO BAJO",IF(I97&lt;'Config  Metas'!$B$3,"🚨 AGENDAMIENTO BAJO",IF(K97&lt;'Config  Metas'!$B$4,"⚠️ SHOW BAJO",IF(M97&lt;'Config  Metas'!$B$5,"🚨 RESERVA BAJA",IF(O97&lt;'Config  Metas'!$B$6,"🚨 CIERRE BAJO",IF(P97&lt;D97*'Config  Metas'!$B$15*'Config  Metas'!$B$9,"🔻 UF BAJO RITMO DINÁMICO","✅ DÍA SOBRE RITMO"))))))))</f>
        <v/>
      </c>
      <c r="S97" s="10"/>
      <c r="T97" s="10"/>
      <c r="U97" s="2"/>
      <c r="V97" s="2"/>
      <c r="W97" s="2"/>
      <c r="X97" s="2"/>
      <c r="Y97" s="2"/>
      <c r="Z97" s="2"/>
    </row>
    <row r="98" ht="15.75" customHeight="1">
      <c r="A98" s="3">
        <v>46263.0</v>
      </c>
      <c r="B98" s="4" t="str">
        <f t="shared" si="1"/>
        <v>Sem 14</v>
      </c>
      <c r="C98" s="4" t="str">
        <f t="shared" si="2"/>
        <v>Sábado</v>
      </c>
      <c r="D98" s="11"/>
      <c r="E98" s="11"/>
      <c r="F98" s="11"/>
      <c r="G98" s="6" t="str">
        <f t="shared" si="3"/>
        <v/>
      </c>
      <c r="H98" s="11"/>
      <c r="I98" s="6" t="str">
        <f t="shared" si="4"/>
        <v/>
      </c>
      <c r="J98" s="11"/>
      <c r="K98" s="6" t="str">
        <f t="shared" si="5"/>
        <v/>
      </c>
      <c r="L98" s="11"/>
      <c r="M98" s="6" t="str">
        <f t="shared" si="6"/>
        <v/>
      </c>
      <c r="N98" s="11"/>
      <c r="O98" s="6" t="str">
        <f t="shared" si="7"/>
        <v/>
      </c>
      <c r="P98" s="12"/>
      <c r="Q98" s="8" t="str">
        <f>IF(P98="","",P98*'Config  Metas'!$B$10)</f>
        <v/>
      </c>
      <c r="R98" s="4" t="str">
        <f>IF(COUNTA(D98,E98,F98,H98,J98,L98,N98,P98)=0,"",IF(AND(D98&gt;0,E98/D98&lt;'Config  Metas'!$B$8),"🚨 COBERTURA DE LLAMADOS BAJA",IF(G98&lt;'Config  Metas'!$B$2,"🚨 CONTACTO BAJO",IF(I98&lt;'Config  Metas'!$B$3,"🚨 AGENDAMIENTO BAJO",IF(K98&lt;'Config  Metas'!$B$4,"⚠️ SHOW BAJO",IF(M98&lt;'Config  Metas'!$B$5,"🚨 RESERVA BAJA",IF(O98&lt;'Config  Metas'!$B$6,"🚨 CIERRE BAJO",IF(P98&lt;D98*'Config  Metas'!$B$15*'Config  Metas'!$B$9,"🔻 UF BAJO RITMO DINÁMICO","✅ DÍA SOBRE RITMO"))))))))</f>
        <v/>
      </c>
      <c r="S98" s="10"/>
      <c r="T98" s="10"/>
      <c r="U98" s="2"/>
      <c r="V98" s="2"/>
      <c r="W98" s="2"/>
      <c r="X98" s="2"/>
      <c r="Y98" s="2"/>
      <c r="Z98" s="2"/>
    </row>
    <row r="99" ht="15.75" customHeight="1">
      <c r="A99" s="3">
        <v>46264.0</v>
      </c>
      <c r="B99" s="4" t="str">
        <f t="shared" si="1"/>
        <v>Sem 14</v>
      </c>
      <c r="C99" s="4" t="str">
        <f t="shared" si="2"/>
        <v>Domingo</v>
      </c>
      <c r="D99" s="11"/>
      <c r="E99" s="11"/>
      <c r="F99" s="11"/>
      <c r="G99" s="6" t="str">
        <f t="shared" si="3"/>
        <v/>
      </c>
      <c r="H99" s="11"/>
      <c r="I99" s="6" t="str">
        <f t="shared" si="4"/>
        <v/>
      </c>
      <c r="J99" s="11"/>
      <c r="K99" s="6" t="str">
        <f t="shared" si="5"/>
        <v/>
      </c>
      <c r="L99" s="11"/>
      <c r="M99" s="6" t="str">
        <f t="shared" si="6"/>
        <v/>
      </c>
      <c r="N99" s="11"/>
      <c r="O99" s="6" t="str">
        <f t="shared" si="7"/>
        <v/>
      </c>
      <c r="P99" s="12"/>
      <c r="Q99" s="8" t="str">
        <f>IF(P99="","",P99*'Config  Metas'!$B$10)</f>
        <v/>
      </c>
      <c r="R99" s="4" t="str">
        <f>IF(COUNTA(D99,E99,F99,H99,J99,L99,N99,P99)=0,"",IF(AND(D99&gt;0,E99/D99&lt;'Config  Metas'!$B$8),"🚨 COBERTURA DE LLAMADOS BAJA",IF(G99&lt;'Config  Metas'!$B$2,"🚨 CONTACTO BAJO",IF(I99&lt;'Config  Metas'!$B$3,"🚨 AGENDAMIENTO BAJO",IF(K99&lt;'Config  Metas'!$B$4,"⚠️ SHOW BAJO",IF(M99&lt;'Config  Metas'!$B$5,"🚨 RESERVA BAJA",IF(O99&lt;'Config  Metas'!$B$6,"🚨 CIERRE BAJO",IF(P99&lt;D99*'Config  Metas'!$B$15*'Config  Metas'!$B$9,"🔻 UF BAJO RITMO DINÁMICO","✅ DÍA SOBRE RITMO"))))))))</f>
        <v/>
      </c>
      <c r="S99" s="10"/>
      <c r="T99" s="10"/>
      <c r="U99" s="2"/>
      <c r="V99" s="2"/>
      <c r="W99" s="2"/>
      <c r="X99" s="2"/>
      <c r="Y99" s="2"/>
      <c r="Z99" s="2"/>
    </row>
    <row r="100" ht="15.75" customHeight="1">
      <c r="A100" s="3">
        <v>46265.0</v>
      </c>
      <c r="B100" s="4" t="str">
        <f t="shared" si="1"/>
        <v>Sem 15</v>
      </c>
      <c r="C100" s="4" t="str">
        <f t="shared" si="2"/>
        <v>Lunes</v>
      </c>
      <c r="D100" s="11"/>
      <c r="E100" s="11"/>
      <c r="F100" s="11"/>
      <c r="G100" s="6" t="str">
        <f t="shared" si="3"/>
        <v/>
      </c>
      <c r="H100" s="11"/>
      <c r="I100" s="6" t="str">
        <f t="shared" si="4"/>
        <v/>
      </c>
      <c r="J100" s="11"/>
      <c r="K100" s="6" t="str">
        <f t="shared" si="5"/>
        <v/>
      </c>
      <c r="L100" s="11"/>
      <c r="M100" s="6" t="str">
        <f t="shared" si="6"/>
        <v/>
      </c>
      <c r="N100" s="11"/>
      <c r="O100" s="6" t="str">
        <f t="shared" si="7"/>
        <v/>
      </c>
      <c r="P100" s="12"/>
      <c r="Q100" s="8" t="str">
        <f>IF(P100="","",P100*'Config  Metas'!$B$10)</f>
        <v/>
      </c>
      <c r="R100" s="4" t="str">
        <f>IF(COUNTA(D100,E100,F100,H100,J100,L100,N100,P100)=0,"",IF(AND(D100&gt;0,E100/D100&lt;'Config  Metas'!$B$8),"🚨 COBERTURA DE LLAMADOS BAJA",IF(G100&lt;'Config  Metas'!$B$2,"🚨 CONTACTO BAJO",IF(I100&lt;'Config  Metas'!$B$3,"🚨 AGENDAMIENTO BAJO",IF(K100&lt;'Config  Metas'!$B$4,"⚠️ SHOW BAJO",IF(M100&lt;'Config  Metas'!$B$5,"🚨 RESERVA BAJA",IF(O100&lt;'Config  Metas'!$B$6,"🚨 CIERRE BAJO",IF(P100&lt;D100*'Config  Metas'!$B$15*'Config  Metas'!$B$9,"🔻 UF BAJO RITMO DINÁMICO","✅ DÍA SOBRE RITMO"))))))))</f>
        <v/>
      </c>
      <c r="S100" s="10"/>
      <c r="T100" s="10"/>
      <c r="U100" s="2"/>
      <c r="V100" s="2"/>
      <c r="W100" s="2"/>
      <c r="X100" s="2"/>
      <c r="Y100" s="2"/>
      <c r="Z100" s="2"/>
    </row>
    <row r="101" ht="15.75" customHeight="1">
      <c r="A101" s="3">
        <v>46266.0</v>
      </c>
      <c r="B101" s="4" t="str">
        <f t="shared" si="1"/>
        <v>Sem 15</v>
      </c>
      <c r="C101" s="4" t="str">
        <f t="shared" si="2"/>
        <v>Martes</v>
      </c>
      <c r="D101" s="11"/>
      <c r="E101" s="11"/>
      <c r="F101" s="11"/>
      <c r="G101" s="6" t="str">
        <f t="shared" si="3"/>
        <v/>
      </c>
      <c r="H101" s="11"/>
      <c r="I101" s="6" t="str">
        <f t="shared" si="4"/>
        <v/>
      </c>
      <c r="J101" s="11"/>
      <c r="K101" s="6" t="str">
        <f t="shared" si="5"/>
        <v/>
      </c>
      <c r="L101" s="11"/>
      <c r="M101" s="6" t="str">
        <f t="shared" si="6"/>
        <v/>
      </c>
      <c r="N101" s="11"/>
      <c r="O101" s="6" t="str">
        <f t="shared" si="7"/>
        <v/>
      </c>
      <c r="P101" s="12"/>
      <c r="Q101" s="8" t="str">
        <f>IF(P101="","",P101*'Config  Metas'!$B$10)</f>
        <v/>
      </c>
      <c r="R101" s="4" t="str">
        <f>IF(COUNTA(D101,E101,F101,H101,J101,L101,N101,P101)=0,"",IF(AND(D101&gt;0,E101/D101&lt;'Config  Metas'!$B$8),"🚨 COBERTURA DE LLAMADOS BAJA",IF(G101&lt;'Config  Metas'!$B$2,"🚨 CONTACTO BAJO",IF(I101&lt;'Config  Metas'!$B$3,"🚨 AGENDAMIENTO BAJO",IF(K101&lt;'Config  Metas'!$B$4,"⚠️ SHOW BAJO",IF(M101&lt;'Config  Metas'!$B$5,"🚨 RESERVA BAJA",IF(O101&lt;'Config  Metas'!$B$6,"🚨 CIERRE BAJO",IF(P101&lt;D101*'Config  Metas'!$B$15*'Config  Metas'!$B$9,"🔻 UF BAJO RITMO DINÁMICO","✅ DÍA SOBRE RITMO"))))))))</f>
        <v/>
      </c>
      <c r="S101" s="10"/>
      <c r="T101" s="10"/>
      <c r="U101" s="2"/>
      <c r="V101" s="2"/>
      <c r="W101" s="2"/>
      <c r="X101" s="2"/>
      <c r="Y101" s="2"/>
      <c r="Z101" s="2"/>
    </row>
    <row r="102" ht="15.75" customHeight="1">
      <c r="A102" s="3">
        <v>46267.0</v>
      </c>
      <c r="B102" s="4" t="str">
        <f t="shared" si="1"/>
        <v>Sem 15</v>
      </c>
      <c r="C102" s="4" t="str">
        <f t="shared" si="2"/>
        <v>Miércoles</v>
      </c>
      <c r="D102" s="11"/>
      <c r="E102" s="11"/>
      <c r="F102" s="11"/>
      <c r="G102" s="6" t="str">
        <f t="shared" si="3"/>
        <v/>
      </c>
      <c r="H102" s="11"/>
      <c r="I102" s="6" t="str">
        <f t="shared" si="4"/>
        <v/>
      </c>
      <c r="J102" s="11"/>
      <c r="K102" s="6" t="str">
        <f t="shared" si="5"/>
        <v/>
      </c>
      <c r="L102" s="11"/>
      <c r="M102" s="6" t="str">
        <f t="shared" si="6"/>
        <v/>
      </c>
      <c r="N102" s="11"/>
      <c r="O102" s="6" t="str">
        <f t="shared" si="7"/>
        <v/>
      </c>
      <c r="P102" s="12"/>
      <c r="Q102" s="8" t="str">
        <f>IF(P102="","",P102*'Config  Metas'!$B$10)</f>
        <v/>
      </c>
      <c r="R102" s="4" t="str">
        <f>IF(COUNTA(D102,E102,F102,H102,J102,L102,N102,P102)=0,"",IF(AND(D102&gt;0,E102/D102&lt;'Config  Metas'!$B$8),"🚨 COBERTURA DE LLAMADOS BAJA",IF(G102&lt;'Config  Metas'!$B$2,"🚨 CONTACTO BAJO",IF(I102&lt;'Config  Metas'!$B$3,"🚨 AGENDAMIENTO BAJO",IF(K102&lt;'Config  Metas'!$B$4,"⚠️ SHOW BAJO",IF(M102&lt;'Config  Metas'!$B$5,"🚨 RESERVA BAJA",IF(O102&lt;'Config  Metas'!$B$6,"🚨 CIERRE BAJO",IF(P102&lt;D102*'Config  Metas'!$B$15*'Config  Metas'!$B$9,"🔻 UF BAJO RITMO DINÁMICO","✅ DÍA SOBRE RITMO"))))))))</f>
        <v/>
      </c>
      <c r="S102" s="10"/>
      <c r="T102" s="10"/>
      <c r="U102" s="2"/>
      <c r="V102" s="2"/>
      <c r="W102" s="2"/>
      <c r="X102" s="2"/>
      <c r="Y102" s="2"/>
      <c r="Z102" s="2"/>
    </row>
    <row r="103" ht="15.75" customHeight="1">
      <c r="A103" s="3">
        <v>46268.0</v>
      </c>
      <c r="B103" s="4" t="str">
        <f t="shared" si="1"/>
        <v>Sem 15</v>
      </c>
      <c r="C103" s="4" t="str">
        <f t="shared" si="2"/>
        <v>Jueves</v>
      </c>
      <c r="D103" s="11"/>
      <c r="E103" s="11"/>
      <c r="F103" s="11"/>
      <c r="G103" s="6" t="str">
        <f t="shared" si="3"/>
        <v/>
      </c>
      <c r="H103" s="11"/>
      <c r="I103" s="6" t="str">
        <f t="shared" si="4"/>
        <v/>
      </c>
      <c r="J103" s="11"/>
      <c r="K103" s="6" t="str">
        <f t="shared" si="5"/>
        <v/>
      </c>
      <c r="L103" s="11"/>
      <c r="M103" s="6" t="str">
        <f t="shared" si="6"/>
        <v/>
      </c>
      <c r="N103" s="11"/>
      <c r="O103" s="6" t="str">
        <f t="shared" si="7"/>
        <v/>
      </c>
      <c r="P103" s="12"/>
      <c r="Q103" s="8" t="str">
        <f>IF(P103="","",P103*'Config  Metas'!$B$10)</f>
        <v/>
      </c>
      <c r="R103" s="4" t="str">
        <f>IF(COUNTA(D103,E103,F103,H103,J103,L103,N103,P103)=0,"",IF(AND(D103&gt;0,E103/D103&lt;'Config  Metas'!$B$8),"🚨 COBERTURA DE LLAMADOS BAJA",IF(G103&lt;'Config  Metas'!$B$2,"🚨 CONTACTO BAJO",IF(I103&lt;'Config  Metas'!$B$3,"🚨 AGENDAMIENTO BAJO",IF(K103&lt;'Config  Metas'!$B$4,"⚠️ SHOW BAJO",IF(M103&lt;'Config  Metas'!$B$5,"🚨 RESERVA BAJA",IF(O103&lt;'Config  Metas'!$B$6,"🚨 CIERRE BAJO",IF(P103&lt;D103*'Config  Metas'!$B$15*'Config  Metas'!$B$9,"🔻 UF BAJO RITMO DINÁMICO","✅ DÍA SOBRE RITMO"))))))))</f>
        <v/>
      </c>
      <c r="S103" s="10"/>
      <c r="T103" s="10"/>
      <c r="U103" s="2"/>
      <c r="V103" s="2"/>
      <c r="W103" s="2"/>
      <c r="X103" s="2"/>
      <c r="Y103" s="2"/>
      <c r="Z103" s="2"/>
    </row>
    <row r="104" ht="15.75" customHeight="1">
      <c r="A104" s="3">
        <v>46269.0</v>
      </c>
      <c r="B104" s="4" t="str">
        <f t="shared" si="1"/>
        <v>Sem 15</v>
      </c>
      <c r="C104" s="4" t="str">
        <f t="shared" si="2"/>
        <v>Viernes</v>
      </c>
      <c r="D104" s="11"/>
      <c r="E104" s="11"/>
      <c r="F104" s="11"/>
      <c r="G104" s="6" t="str">
        <f t="shared" si="3"/>
        <v/>
      </c>
      <c r="H104" s="11"/>
      <c r="I104" s="6" t="str">
        <f t="shared" si="4"/>
        <v/>
      </c>
      <c r="J104" s="11"/>
      <c r="K104" s="6" t="str">
        <f t="shared" si="5"/>
        <v/>
      </c>
      <c r="L104" s="11"/>
      <c r="M104" s="6" t="str">
        <f t="shared" si="6"/>
        <v/>
      </c>
      <c r="N104" s="11"/>
      <c r="O104" s="6" t="str">
        <f t="shared" si="7"/>
        <v/>
      </c>
      <c r="P104" s="12"/>
      <c r="Q104" s="8" t="str">
        <f>IF(P104="","",P104*'Config  Metas'!$B$10)</f>
        <v/>
      </c>
      <c r="R104" s="4" t="str">
        <f>IF(COUNTA(D104,E104,F104,H104,J104,L104,N104,P104)=0,"",IF(AND(D104&gt;0,E104/D104&lt;'Config  Metas'!$B$8),"🚨 COBERTURA DE LLAMADOS BAJA",IF(G104&lt;'Config  Metas'!$B$2,"🚨 CONTACTO BAJO",IF(I104&lt;'Config  Metas'!$B$3,"🚨 AGENDAMIENTO BAJO",IF(K104&lt;'Config  Metas'!$B$4,"⚠️ SHOW BAJO",IF(M104&lt;'Config  Metas'!$B$5,"🚨 RESERVA BAJA",IF(O104&lt;'Config  Metas'!$B$6,"🚨 CIERRE BAJO",IF(P104&lt;D104*'Config  Metas'!$B$15*'Config  Metas'!$B$9,"🔻 UF BAJO RITMO DINÁMICO","✅ DÍA SOBRE RITMO"))))))))</f>
        <v/>
      </c>
      <c r="S104" s="10"/>
      <c r="T104" s="10"/>
      <c r="U104" s="2"/>
      <c r="V104" s="2"/>
      <c r="W104" s="2"/>
      <c r="X104" s="2"/>
      <c r="Y104" s="2"/>
      <c r="Z104" s="2"/>
    </row>
    <row r="105" ht="15.75" customHeight="1">
      <c r="A105" s="3">
        <v>46270.0</v>
      </c>
      <c r="B105" s="4" t="str">
        <f t="shared" si="1"/>
        <v>Sem 15</v>
      </c>
      <c r="C105" s="4" t="str">
        <f t="shared" si="2"/>
        <v>Sábado</v>
      </c>
      <c r="D105" s="11"/>
      <c r="E105" s="11"/>
      <c r="F105" s="11"/>
      <c r="G105" s="6" t="str">
        <f t="shared" si="3"/>
        <v/>
      </c>
      <c r="H105" s="11"/>
      <c r="I105" s="6" t="str">
        <f t="shared" si="4"/>
        <v/>
      </c>
      <c r="J105" s="11"/>
      <c r="K105" s="6" t="str">
        <f t="shared" si="5"/>
        <v/>
      </c>
      <c r="L105" s="11"/>
      <c r="M105" s="6" t="str">
        <f t="shared" si="6"/>
        <v/>
      </c>
      <c r="N105" s="11"/>
      <c r="O105" s="6" t="str">
        <f t="shared" si="7"/>
        <v/>
      </c>
      <c r="P105" s="12"/>
      <c r="Q105" s="8" t="str">
        <f>IF(P105="","",P105*'Config  Metas'!$B$10)</f>
        <v/>
      </c>
      <c r="R105" s="4" t="str">
        <f>IF(COUNTA(D105,E105,F105,H105,J105,L105,N105,P105)=0,"",IF(AND(D105&gt;0,E105/D105&lt;'Config  Metas'!$B$8),"🚨 COBERTURA DE LLAMADOS BAJA",IF(G105&lt;'Config  Metas'!$B$2,"🚨 CONTACTO BAJO",IF(I105&lt;'Config  Metas'!$B$3,"🚨 AGENDAMIENTO BAJO",IF(K105&lt;'Config  Metas'!$B$4,"⚠️ SHOW BAJO",IF(M105&lt;'Config  Metas'!$B$5,"🚨 RESERVA BAJA",IF(O105&lt;'Config  Metas'!$B$6,"🚨 CIERRE BAJO",IF(P105&lt;D105*'Config  Metas'!$B$15*'Config  Metas'!$B$9,"🔻 UF BAJO RITMO DINÁMICO","✅ DÍA SOBRE RITMO"))))))))</f>
        <v/>
      </c>
      <c r="S105" s="10"/>
      <c r="T105" s="10"/>
      <c r="U105" s="2"/>
      <c r="V105" s="2"/>
      <c r="W105" s="2"/>
      <c r="X105" s="2"/>
      <c r="Y105" s="2"/>
      <c r="Z105" s="2"/>
    </row>
    <row r="106" ht="15.75" customHeight="1">
      <c r="A106" s="3">
        <v>46271.0</v>
      </c>
      <c r="B106" s="4" t="str">
        <f t="shared" si="1"/>
        <v>Sem 15</v>
      </c>
      <c r="C106" s="4" t="str">
        <f t="shared" si="2"/>
        <v>Domingo</v>
      </c>
      <c r="D106" s="11"/>
      <c r="E106" s="11"/>
      <c r="F106" s="11"/>
      <c r="G106" s="6" t="str">
        <f t="shared" si="3"/>
        <v/>
      </c>
      <c r="H106" s="11"/>
      <c r="I106" s="6" t="str">
        <f t="shared" si="4"/>
        <v/>
      </c>
      <c r="J106" s="11"/>
      <c r="K106" s="6" t="str">
        <f t="shared" si="5"/>
        <v/>
      </c>
      <c r="L106" s="11"/>
      <c r="M106" s="6" t="str">
        <f t="shared" si="6"/>
        <v/>
      </c>
      <c r="N106" s="11"/>
      <c r="O106" s="6" t="str">
        <f t="shared" si="7"/>
        <v/>
      </c>
      <c r="P106" s="12"/>
      <c r="Q106" s="8" t="str">
        <f>IF(P106="","",P106*'Config  Metas'!$B$10)</f>
        <v/>
      </c>
      <c r="R106" s="4" t="str">
        <f>IF(COUNTA(D106,E106,F106,H106,J106,L106,N106,P106)=0,"",IF(AND(D106&gt;0,E106/D106&lt;'Config  Metas'!$B$8),"🚨 COBERTURA DE LLAMADOS BAJA",IF(G106&lt;'Config  Metas'!$B$2,"🚨 CONTACTO BAJO",IF(I106&lt;'Config  Metas'!$B$3,"🚨 AGENDAMIENTO BAJO",IF(K106&lt;'Config  Metas'!$B$4,"⚠️ SHOW BAJO",IF(M106&lt;'Config  Metas'!$B$5,"🚨 RESERVA BAJA",IF(O106&lt;'Config  Metas'!$B$6,"🚨 CIERRE BAJO",IF(P106&lt;D106*'Config  Metas'!$B$15*'Config  Metas'!$B$9,"🔻 UF BAJO RITMO DINÁMICO","✅ DÍA SOBRE RITMO"))))))))</f>
        <v/>
      </c>
      <c r="S106" s="10"/>
      <c r="T106" s="10"/>
      <c r="U106" s="2"/>
      <c r="V106" s="2"/>
      <c r="W106" s="2"/>
      <c r="X106" s="2"/>
      <c r="Y106" s="2"/>
      <c r="Z106" s="2"/>
    </row>
    <row r="107" ht="15.75" customHeight="1">
      <c r="A107" s="3">
        <v>46272.0</v>
      </c>
      <c r="B107" s="4" t="str">
        <f t="shared" si="1"/>
        <v>Sem 16</v>
      </c>
      <c r="C107" s="4" t="str">
        <f t="shared" si="2"/>
        <v>Lunes</v>
      </c>
      <c r="D107" s="11"/>
      <c r="E107" s="11"/>
      <c r="F107" s="11"/>
      <c r="G107" s="6" t="str">
        <f t="shared" si="3"/>
        <v/>
      </c>
      <c r="H107" s="11"/>
      <c r="I107" s="6" t="str">
        <f t="shared" si="4"/>
        <v/>
      </c>
      <c r="J107" s="11"/>
      <c r="K107" s="6" t="str">
        <f t="shared" si="5"/>
        <v/>
      </c>
      <c r="L107" s="11"/>
      <c r="M107" s="6" t="str">
        <f t="shared" si="6"/>
        <v/>
      </c>
      <c r="N107" s="11"/>
      <c r="O107" s="6" t="str">
        <f t="shared" si="7"/>
        <v/>
      </c>
      <c r="P107" s="12"/>
      <c r="Q107" s="8" t="str">
        <f>IF(P107="","",P107*'Config  Metas'!$B$10)</f>
        <v/>
      </c>
      <c r="R107" s="4" t="str">
        <f>IF(COUNTA(D107,E107,F107,H107,J107,L107,N107,P107)=0,"",IF(AND(D107&gt;0,E107/D107&lt;'Config  Metas'!$B$8),"🚨 COBERTURA DE LLAMADOS BAJA",IF(G107&lt;'Config  Metas'!$B$2,"🚨 CONTACTO BAJO",IF(I107&lt;'Config  Metas'!$B$3,"🚨 AGENDAMIENTO BAJO",IF(K107&lt;'Config  Metas'!$B$4,"⚠️ SHOW BAJO",IF(M107&lt;'Config  Metas'!$B$5,"🚨 RESERVA BAJA",IF(O107&lt;'Config  Metas'!$B$6,"🚨 CIERRE BAJO",IF(P107&lt;D107*'Config  Metas'!$B$15*'Config  Metas'!$B$9,"🔻 UF BAJO RITMO DINÁMICO","✅ DÍA SOBRE RITMO"))))))))</f>
        <v/>
      </c>
      <c r="S107" s="10"/>
      <c r="T107" s="10"/>
      <c r="U107" s="2"/>
      <c r="V107" s="2"/>
      <c r="W107" s="2"/>
      <c r="X107" s="2"/>
      <c r="Y107" s="2"/>
      <c r="Z107" s="2"/>
    </row>
    <row r="108" ht="15.75" customHeight="1">
      <c r="A108" s="3">
        <v>46273.0</v>
      </c>
      <c r="B108" s="4" t="str">
        <f t="shared" si="1"/>
        <v>Sem 16</v>
      </c>
      <c r="C108" s="4" t="str">
        <f t="shared" si="2"/>
        <v>Martes</v>
      </c>
      <c r="D108" s="11"/>
      <c r="E108" s="11"/>
      <c r="F108" s="11"/>
      <c r="G108" s="6" t="str">
        <f t="shared" si="3"/>
        <v/>
      </c>
      <c r="H108" s="11"/>
      <c r="I108" s="6" t="str">
        <f t="shared" si="4"/>
        <v/>
      </c>
      <c r="J108" s="11"/>
      <c r="K108" s="6" t="str">
        <f t="shared" si="5"/>
        <v/>
      </c>
      <c r="L108" s="11"/>
      <c r="M108" s="6" t="str">
        <f t="shared" si="6"/>
        <v/>
      </c>
      <c r="N108" s="11"/>
      <c r="O108" s="6" t="str">
        <f t="shared" si="7"/>
        <v/>
      </c>
      <c r="P108" s="12"/>
      <c r="Q108" s="8" t="str">
        <f>IF(P108="","",P108*'Config  Metas'!$B$10)</f>
        <v/>
      </c>
      <c r="R108" s="4" t="str">
        <f>IF(COUNTA(D108,E108,F108,H108,J108,L108,N108,P108)=0,"",IF(AND(D108&gt;0,E108/D108&lt;'Config  Metas'!$B$8),"🚨 COBERTURA DE LLAMADOS BAJA",IF(G108&lt;'Config  Metas'!$B$2,"🚨 CONTACTO BAJO",IF(I108&lt;'Config  Metas'!$B$3,"🚨 AGENDAMIENTO BAJO",IF(K108&lt;'Config  Metas'!$B$4,"⚠️ SHOW BAJO",IF(M108&lt;'Config  Metas'!$B$5,"🚨 RESERVA BAJA",IF(O108&lt;'Config  Metas'!$B$6,"🚨 CIERRE BAJO",IF(P108&lt;D108*'Config  Metas'!$B$15*'Config  Metas'!$B$9,"🔻 UF BAJO RITMO DINÁMICO","✅ DÍA SOBRE RITMO"))))))))</f>
        <v/>
      </c>
      <c r="S108" s="10"/>
      <c r="T108" s="10"/>
      <c r="U108" s="2"/>
      <c r="V108" s="2"/>
      <c r="W108" s="2"/>
      <c r="X108" s="2"/>
      <c r="Y108" s="2"/>
      <c r="Z108" s="2"/>
    </row>
    <row r="109" ht="15.75" customHeight="1">
      <c r="A109" s="3">
        <v>46274.0</v>
      </c>
      <c r="B109" s="4" t="str">
        <f t="shared" si="1"/>
        <v>Sem 16</v>
      </c>
      <c r="C109" s="4" t="str">
        <f t="shared" si="2"/>
        <v>Miércoles</v>
      </c>
      <c r="D109" s="11"/>
      <c r="E109" s="11"/>
      <c r="F109" s="11"/>
      <c r="G109" s="6" t="str">
        <f t="shared" si="3"/>
        <v/>
      </c>
      <c r="H109" s="11"/>
      <c r="I109" s="6" t="str">
        <f t="shared" si="4"/>
        <v/>
      </c>
      <c r="J109" s="11"/>
      <c r="K109" s="6" t="str">
        <f t="shared" si="5"/>
        <v/>
      </c>
      <c r="L109" s="11"/>
      <c r="M109" s="6" t="str">
        <f t="shared" si="6"/>
        <v/>
      </c>
      <c r="N109" s="11"/>
      <c r="O109" s="6" t="str">
        <f t="shared" si="7"/>
        <v/>
      </c>
      <c r="P109" s="12"/>
      <c r="Q109" s="8" t="str">
        <f>IF(P109="","",P109*'Config  Metas'!$B$10)</f>
        <v/>
      </c>
      <c r="R109" s="4" t="str">
        <f>IF(COUNTA(D109,E109,F109,H109,J109,L109,N109,P109)=0,"",IF(AND(D109&gt;0,E109/D109&lt;'Config  Metas'!$B$8),"🚨 COBERTURA DE LLAMADOS BAJA",IF(G109&lt;'Config  Metas'!$B$2,"🚨 CONTACTO BAJO",IF(I109&lt;'Config  Metas'!$B$3,"🚨 AGENDAMIENTO BAJO",IF(K109&lt;'Config  Metas'!$B$4,"⚠️ SHOW BAJO",IF(M109&lt;'Config  Metas'!$B$5,"🚨 RESERVA BAJA",IF(O109&lt;'Config  Metas'!$B$6,"🚨 CIERRE BAJO",IF(P109&lt;D109*'Config  Metas'!$B$15*'Config  Metas'!$B$9,"🔻 UF BAJO RITMO DINÁMICO","✅ DÍA SOBRE RITMO"))))))))</f>
        <v/>
      </c>
      <c r="S109" s="10"/>
      <c r="T109" s="10"/>
      <c r="U109" s="2"/>
      <c r="V109" s="2"/>
      <c r="W109" s="2"/>
      <c r="X109" s="2"/>
      <c r="Y109" s="2"/>
      <c r="Z109" s="2"/>
    </row>
    <row r="110" ht="15.75" customHeight="1">
      <c r="A110" s="3">
        <v>46275.0</v>
      </c>
      <c r="B110" s="4" t="str">
        <f t="shared" si="1"/>
        <v>Sem 16</v>
      </c>
      <c r="C110" s="4" t="str">
        <f t="shared" si="2"/>
        <v>Jueves</v>
      </c>
      <c r="D110" s="11"/>
      <c r="E110" s="11"/>
      <c r="F110" s="11"/>
      <c r="G110" s="6" t="str">
        <f t="shared" si="3"/>
        <v/>
      </c>
      <c r="H110" s="11"/>
      <c r="I110" s="6" t="str">
        <f t="shared" si="4"/>
        <v/>
      </c>
      <c r="J110" s="11"/>
      <c r="K110" s="6" t="str">
        <f t="shared" si="5"/>
        <v/>
      </c>
      <c r="L110" s="11"/>
      <c r="M110" s="6" t="str">
        <f t="shared" si="6"/>
        <v/>
      </c>
      <c r="N110" s="11"/>
      <c r="O110" s="6" t="str">
        <f t="shared" si="7"/>
        <v/>
      </c>
      <c r="P110" s="12"/>
      <c r="Q110" s="8" t="str">
        <f>IF(P110="","",P110*'Config  Metas'!$B$10)</f>
        <v/>
      </c>
      <c r="R110" s="4" t="str">
        <f>IF(COUNTA(D110,E110,F110,H110,J110,L110,N110,P110)=0,"",IF(AND(D110&gt;0,E110/D110&lt;'Config  Metas'!$B$8),"🚨 COBERTURA DE LLAMADOS BAJA",IF(G110&lt;'Config  Metas'!$B$2,"🚨 CONTACTO BAJO",IF(I110&lt;'Config  Metas'!$B$3,"🚨 AGENDAMIENTO BAJO",IF(K110&lt;'Config  Metas'!$B$4,"⚠️ SHOW BAJO",IF(M110&lt;'Config  Metas'!$B$5,"🚨 RESERVA BAJA",IF(O110&lt;'Config  Metas'!$B$6,"🚨 CIERRE BAJO",IF(P110&lt;D110*'Config  Metas'!$B$15*'Config  Metas'!$B$9,"🔻 UF BAJO RITMO DINÁMICO","✅ DÍA SOBRE RITMO"))))))))</f>
        <v/>
      </c>
      <c r="S110" s="10"/>
      <c r="T110" s="10"/>
      <c r="U110" s="2"/>
      <c r="V110" s="2"/>
      <c r="W110" s="2"/>
      <c r="X110" s="2"/>
      <c r="Y110" s="2"/>
      <c r="Z110" s="2"/>
    </row>
    <row r="111" ht="15.75" customHeight="1">
      <c r="A111" s="3">
        <v>46276.0</v>
      </c>
      <c r="B111" s="4" t="str">
        <f t="shared" si="1"/>
        <v>Sem 16</v>
      </c>
      <c r="C111" s="4" t="str">
        <f t="shared" si="2"/>
        <v>Viernes</v>
      </c>
      <c r="D111" s="11"/>
      <c r="E111" s="11"/>
      <c r="F111" s="11"/>
      <c r="G111" s="6" t="str">
        <f t="shared" si="3"/>
        <v/>
      </c>
      <c r="H111" s="11"/>
      <c r="I111" s="6" t="str">
        <f t="shared" si="4"/>
        <v/>
      </c>
      <c r="J111" s="11"/>
      <c r="K111" s="6" t="str">
        <f t="shared" si="5"/>
        <v/>
      </c>
      <c r="L111" s="11"/>
      <c r="M111" s="6" t="str">
        <f t="shared" si="6"/>
        <v/>
      </c>
      <c r="N111" s="11"/>
      <c r="O111" s="6" t="str">
        <f t="shared" si="7"/>
        <v/>
      </c>
      <c r="P111" s="12"/>
      <c r="Q111" s="8" t="str">
        <f>IF(P111="","",P111*'Config  Metas'!$B$10)</f>
        <v/>
      </c>
      <c r="R111" s="4" t="str">
        <f>IF(COUNTA(D111,E111,F111,H111,J111,L111,N111,P111)=0,"",IF(AND(D111&gt;0,E111/D111&lt;'Config  Metas'!$B$8),"🚨 COBERTURA DE LLAMADOS BAJA",IF(G111&lt;'Config  Metas'!$B$2,"🚨 CONTACTO BAJO",IF(I111&lt;'Config  Metas'!$B$3,"🚨 AGENDAMIENTO BAJO",IF(K111&lt;'Config  Metas'!$B$4,"⚠️ SHOW BAJO",IF(M111&lt;'Config  Metas'!$B$5,"🚨 RESERVA BAJA",IF(O111&lt;'Config  Metas'!$B$6,"🚨 CIERRE BAJO",IF(P111&lt;D111*'Config  Metas'!$B$15*'Config  Metas'!$B$9,"🔻 UF BAJO RITMO DINÁMICO","✅ DÍA SOBRE RITMO"))))))))</f>
        <v/>
      </c>
      <c r="S111" s="10"/>
      <c r="T111" s="10"/>
      <c r="U111" s="2"/>
      <c r="V111" s="2"/>
      <c r="W111" s="2"/>
      <c r="X111" s="2"/>
      <c r="Y111" s="2"/>
      <c r="Z111" s="2"/>
    </row>
    <row r="112" ht="15.75" customHeight="1">
      <c r="A112" s="3">
        <v>46277.0</v>
      </c>
      <c r="B112" s="4" t="str">
        <f t="shared" si="1"/>
        <v>Sem 16</v>
      </c>
      <c r="C112" s="4" t="str">
        <f t="shared" si="2"/>
        <v>Sábado</v>
      </c>
      <c r="D112" s="11"/>
      <c r="E112" s="11"/>
      <c r="F112" s="11"/>
      <c r="G112" s="6" t="str">
        <f t="shared" si="3"/>
        <v/>
      </c>
      <c r="H112" s="11"/>
      <c r="I112" s="6" t="str">
        <f t="shared" si="4"/>
        <v/>
      </c>
      <c r="J112" s="11"/>
      <c r="K112" s="6" t="str">
        <f t="shared" si="5"/>
        <v/>
      </c>
      <c r="L112" s="11"/>
      <c r="M112" s="6" t="str">
        <f t="shared" si="6"/>
        <v/>
      </c>
      <c r="N112" s="11"/>
      <c r="O112" s="6" t="str">
        <f t="shared" si="7"/>
        <v/>
      </c>
      <c r="P112" s="12"/>
      <c r="Q112" s="8" t="str">
        <f>IF(P112="","",P112*'Config  Metas'!$B$10)</f>
        <v/>
      </c>
      <c r="R112" s="4" t="str">
        <f>IF(COUNTA(D112,E112,F112,H112,J112,L112,N112,P112)=0,"",IF(AND(D112&gt;0,E112/D112&lt;'Config  Metas'!$B$8),"🚨 COBERTURA DE LLAMADOS BAJA",IF(G112&lt;'Config  Metas'!$B$2,"🚨 CONTACTO BAJO",IF(I112&lt;'Config  Metas'!$B$3,"🚨 AGENDAMIENTO BAJO",IF(K112&lt;'Config  Metas'!$B$4,"⚠️ SHOW BAJO",IF(M112&lt;'Config  Metas'!$B$5,"🚨 RESERVA BAJA",IF(O112&lt;'Config  Metas'!$B$6,"🚨 CIERRE BAJO",IF(P112&lt;D112*'Config  Metas'!$B$15*'Config  Metas'!$B$9,"🔻 UF BAJO RITMO DINÁMICO","✅ DÍA SOBRE RITMO"))))))))</f>
        <v/>
      </c>
      <c r="S112" s="10"/>
      <c r="T112" s="10"/>
      <c r="U112" s="2"/>
      <c r="V112" s="2"/>
      <c r="W112" s="2"/>
      <c r="X112" s="2"/>
      <c r="Y112" s="2"/>
      <c r="Z112" s="2"/>
    </row>
    <row r="113" ht="15.75" customHeight="1">
      <c r="A113" s="3">
        <v>46278.0</v>
      </c>
      <c r="B113" s="4" t="str">
        <f t="shared" si="1"/>
        <v>Sem 16</v>
      </c>
      <c r="C113" s="4" t="str">
        <f t="shared" si="2"/>
        <v>Domingo</v>
      </c>
      <c r="D113" s="11"/>
      <c r="E113" s="11"/>
      <c r="F113" s="11"/>
      <c r="G113" s="6" t="str">
        <f t="shared" si="3"/>
        <v/>
      </c>
      <c r="H113" s="11"/>
      <c r="I113" s="6" t="str">
        <f t="shared" si="4"/>
        <v/>
      </c>
      <c r="J113" s="11"/>
      <c r="K113" s="6" t="str">
        <f t="shared" si="5"/>
        <v/>
      </c>
      <c r="L113" s="11"/>
      <c r="M113" s="6" t="str">
        <f t="shared" si="6"/>
        <v/>
      </c>
      <c r="N113" s="11"/>
      <c r="O113" s="6" t="str">
        <f t="shared" si="7"/>
        <v/>
      </c>
      <c r="P113" s="12"/>
      <c r="Q113" s="8" t="str">
        <f>IF(P113="","",P113*'Config  Metas'!$B$10)</f>
        <v/>
      </c>
      <c r="R113" s="4" t="str">
        <f>IF(COUNTA(D113,E113,F113,H113,J113,L113,N113,P113)=0,"",IF(AND(D113&gt;0,E113/D113&lt;'Config  Metas'!$B$8),"🚨 COBERTURA DE LLAMADOS BAJA",IF(G113&lt;'Config  Metas'!$B$2,"🚨 CONTACTO BAJO",IF(I113&lt;'Config  Metas'!$B$3,"🚨 AGENDAMIENTO BAJO",IF(K113&lt;'Config  Metas'!$B$4,"⚠️ SHOW BAJO",IF(M113&lt;'Config  Metas'!$B$5,"🚨 RESERVA BAJA",IF(O113&lt;'Config  Metas'!$B$6,"🚨 CIERRE BAJO",IF(P113&lt;D113*'Config  Metas'!$B$15*'Config  Metas'!$B$9,"🔻 UF BAJO RITMO DINÁMICO","✅ DÍA SOBRE RITMO"))))))))</f>
        <v/>
      </c>
      <c r="S113" s="10"/>
      <c r="T113" s="10"/>
      <c r="U113" s="2"/>
      <c r="V113" s="2"/>
      <c r="W113" s="2"/>
      <c r="X113" s="2"/>
      <c r="Y113" s="2"/>
      <c r="Z113" s="2"/>
    </row>
    <row r="114" ht="15.75" customHeight="1">
      <c r="A114" s="3">
        <v>46279.0</v>
      </c>
      <c r="B114" s="4" t="str">
        <f t="shared" si="1"/>
        <v>Sem 17</v>
      </c>
      <c r="C114" s="4" t="str">
        <f t="shared" si="2"/>
        <v>Lunes</v>
      </c>
      <c r="D114" s="11"/>
      <c r="E114" s="11"/>
      <c r="F114" s="11"/>
      <c r="G114" s="6" t="str">
        <f t="shared" si="3"/>
        <v/>
      </c>
      <c r="H114" s="11"/>
      <c r="I114" s="6" t="str">
        <f t="shared" si="4"/>
        <v/>
      </c>
      <c r="J114" s="11"/>
      <c r="K114" s="6" t="str">
        <f t="shared" si="5"/>
        <v/>
      </c>
      <c r="L114" s="11"/>
      <c r="M114" s="6" t="str">
        <f t="shared" si="6"/>
        <v/>
      </c>
      <c r="N114" s="11"/>
      <c r="O114" s="6" t="str">
        <f t="shared" si="7"/>
        <v/>
      </c>
      <c r="P114" s="12"/>
      <c r="Q114" s="8" t="str">
        <f>IF(P114="","",P114*'Config  Metas'!$B$10)</f>
        <v/>
      </c>
      <c r="R114" s="4" t="str">
        <f>IF(COUNTA(D114,E114,F114,H114,J114,L114,N114,P114)=0,"",IF(AND(D114&gt;0,E114/D114&lt;'Config  Metas'!$B$8),"🚨 COBERTURA DE LLAMADOS BAJA",IF(G114&lt;'Config  Metas'!$B$2,"🚨 CONTACTO BAJO",IF(I114&lt;'Config  Metas'!$B$3,"🚨 AGENDAMIENTO BAJO",IF(K114&lt;'Config  Metas'!$B$4,"⚠️ SHOW BAJO",IF(M114&lt;'Config  Metas'!$B$5,"🚨 RESERVA BAJA",IF(O114&lt;'Config  Metas'!$B$6,"🚨 CIERRE BAJO",IF(P114&lt;D114*'Config  Metas'!$B$15*'Config  Metas'!$B$9,"🔻 UF BAJO RITMO DINÁMICO","✅ DÍA SOBRE RITMO"))))))))</f>
        <v/>
      </c>
      <c r="S114" s="10"/>
      <c r="T114" s="10"/>
      <c r="U114" s="2"/>
      <c r="V114" s="2"/>
      <c r="W114" s="2"/>
      <c r="X114" s="2"/>
      <c r="Y114" s="2"/>
      <c r="Z114" s="2"/>
    </row>
    <row r="115" ht="15.75" customHeight="1">
      <c r="A115" s="3">
        <v>46280.0</v>
      </c>
      <c r="B115" s="4" t="str">
        <f t="shared" si="1"/>
        <v>Sem 17</v>
      </c>
      <c r="C115" s="4" t="str">
        <f t="shared" si="2"/>
        <v>Martes</v>
      </c>
      <c r="D115" s="11"/>
      <c r="E115" s="11"/>
      <c r="F115" s="11"/>
      <c r="G115" s="6" t="str">
        <f t="shared" si="3"/>
        <v/>
      </c>
      <c r="H115" s="11"/>
      <c r="I115" s="6" t="str">
        <f t="shared" si="4"/>
        <v/>
      </c>
      <c r="J115" s="11"/>
      <c r="K115" s="6" t="str">
        <f t="shared" si="5"/>
        <v/>
      </c>
      <c r="L115" s="11"/>
      <c r="M115" s="6" t="str">
        <f t="shared" si="6"/>
        <v/>
      </c>
      <c r="N115" s="11"/>
      <c r="O115" s="6" t="str">
        <f t="shared" si="7"/>
        <v/>
      </c>
      <c r="P115" s="12"/>
      <c r="Q115" s="8" t="str">
        <f>IF(P115="","",P115*'Config  Metas'!$B$10)</f>
        <v/>
      </c>
      <c r="R115" s="4" t="str">
        <f>IF(COUNTA(D115,E115,F115,H115,J115,L115,N115,P115)=0,"",IF(AND(D115&gt;0,E115/D115&lt;'Config  Metas'!$B$8),"🚨 COBERTURA DE LLAMADOS BAJA",IF(G115&lt;'Config  Metas'!$B$2,"🚨 CONTACTO BAJO",IF(I115&lt;'Config  Metas'!$B$3,"🚨 AGENDAMIENTO BAJO",IF(K115&lt;'Config  Metas'!$B$4,"⚠️ SHOW BAJO",IF(M115&lt;'Config  Metas'!$B$5,"🚨 RESERVA BAJA",IF(O115&lt;'Config  Metas'!$B$6,"🚨 CIERRE BAJO",IF(P115&lt;D115*'Config  Metas'!$B$15*'Config  Metas'!$B$9,"🔻 UF BAJO RITMO DINÁMICO","✅ DÍA SOBRE RITMO"))))))))</f>
        <v/>
      </c>
      <c r="S115" s="10"/>
      <c r="T115" s="10"/>
      <c r="U115" s="2"/>
      <c r="V115" s="2"/>
      <c r="W115" s="2"/>
      <c r="X115" s="2"/>
      <c r="Y115" s="2"/>
      <c r="Z115" s="2"/>
    </row>
    <row r="116" ht="15.75" customHeight="1">
      <c r="A116" s="3">
        <v>46281.0</v>
      </c>
      <c r="B116" s="4" t="str">
        <f t="shared" si="1"/>
        <v>Sem 17</v>
      </c>
      <c r="C116" s="4" t="str">
        <f t="shared" si="2"/>
        <v>Miércoles</v>
      </c>
      <c r="D116" s="11"/>
      <c r="E116" s="11"/>
      <c r="F116" s="11"/>
      <c r="G116" s="6" t="str">
        <f t="shared" si="3"/>
        <v/>
      </c>
      <c r="H116" s="11"/>
      <c r="I116" s="6" t="str">
        <f t="shared" si="4"/>
        <v/>
      </c>
      <c r="J116" s="11"/>
      <c r="K116" s="6" t="str">
        <f t="shared" si="5"/>
        <v/>
      </c>
      <c r="L116" s="11"/>
      <c r="M116" s="6" t="str">
        <f t="shared" si="6"/>
        <v/>
      </c>
      <c r="N116" s="11"/>
      <c r="O116" s="6" t="str">
        <f t="shared" si="7"/>
        <v/>
      </c>
      <c r="P116" s="12"/>
      <c r="Q116" s="8" t="str">
        <f>IF(P116="","",P116*'Config  Metas'!$B$10)</f>
        <v/>
      </c>
      <c r="R116" s="4" t="str">
        <f>IF(COUNTA(D116,E116,F116,H116,J116,L116,N116,P116)=0,"",IF(AND(D116&gt;0,E116/D116&lt;'Config  Metas'!$B$8),"🚨 COBERTURA DE LLAMADOS BAJA",IF(G116&lt;'Config  Metas'!$B$2,"🚨 CONTACTO BAJO",IF(I116&lt;'Config  Metas'!$B$3,"🚨 AGENDAMIENTO BAJO",IF(K116&lt;'Config  Metas'!$B$4,"⚠️ SHOW BAJO",IF(M116&lt;'Config  Metas'!$B$5,"🚨 RESERVA BAJA",IF(O116&lt;'Config  Metas'!$B$6,"🚨 CIERRE BAJO",IF(P116&lt;D116*'Config  Metas'!$B$15*'Config  Metas'!$B$9,"🔻 UF BAJO RITMO DINÁMICO","✅ DÍA SOBRE RITMO"))))))))</f>
        <v/>
      </c>
      <c r="S116" s="10"/>
      <c r="T116" s="10"/>
      <c r="U116" s="2"/>
      <c r="V116" s="2"/>
      <c r="W116" s="2"/>
      <c r="X116" s="2"/>
      <c r="Y116" s="2"/>
      <c r="Z116" s="2"/>
    </row>
    <row r="117" ht="15.75" customHeight="1">
      <c r="A117" s="3">
        <v>46282.0</v>
      </c>
      <c r="B117" s="4" t="str">
        <f t="shared" si="1"/>
        <v>Sem 17</v>
      </c>
      <c r="C117" s="4" t="str">
        <f t="shared" si="2"/>
        <v>Jueves</v>
      </c>
      <c r="D117" s="11"/>
      <c r="E117" s="11"/>
      <c r="F117" s="11"/>
      <c r="G117" s="6" t="str">
        <f t="shared" si="3"/>
        <v/>
      </c>
      <c r="H117" s="11"/>
      <c r="I117" s="6" t="str">
        <f t="shared" si="4"/>
        <v/>
      </c>
      <c r="J117" s="11"/>
      <c r="K117" s="6" t="str">
        <f t="shared" si="5"/>
        <v/>
      </c>
      <c r="L117" s="11"/>
      <c r="M117" s="6" t="str">
        <f t="shared" si="6"/>
        <v/>
      </c>
      <c r="N117" s="11"/>
      <c r="O117" s="6" t="str">
        <f t="shared" si="7"/>
        <v/>
      </c>
      <c r="P117" s="12"/>
      <c r="Q117" s="8" t="str">
        <f>IF(P117="","",P117*'Config  Metas'!$B$10)</f>
        <v/>
      </c>
      <c r="R117" s="4" t="str">
        <f>IF(COUNTA(D117,E117,F117,H117,J117,L117,N117,P117)=0,"",IF(AND(D117&gt;0,E117/D117&lt;'Config  Metas'!$B$8),"🚨 COBERTURA DE LLAMADOS BAJA",IF(G117&lt;'Config  Metas'!$B$2,"🚨 CONTACTO BAJO",IF(I117&lt;'Config  Metas'!$B$3,"🚨 AGENDAMIENTO BAJO",IF(K117&lt;'Config  Metas'!$B$4,"⚠️ SHOW BAJO",IF(M117&lt;'Config  Metas'!$B$5,"🚨 RESERVA BAJA",IF(O117&lt;'Config  Metas'!$B$6,"🚨 CIERRE BAJO",IF(P117&lt;D117*'Config  Metas'!$B$15*'Config  Metas'!$B$9,"🔻 UF BAJO RITMO DINÁMICO","✅ DÍA SOBRE RITMO"))))))))</f>
        <v/>
      </c>
      <c r="S117" s="10"/>
      <c r="T117" s="10"/>
      <c r="U117" s="2"/>
      <c r="V117" s="2"/>
      <c r="W117" s="2"/>
      <c r="X117" s="2"/>
      <c r="Y117" s="2"/>
      <c r="Z117" s="2"/>
    </row>
    <row r="118" ht="15.75" customHeight="1">
      <c r="A118" s="3">
        <v>46283.0</v>
      </c>
      <c r="B118" s="4" t="str">
        <f t="shared" si="1"/>
        <v>Sem 17</v>
      </c>
      <c r="C118" s="4" t="str">
        <f t="shared" si="2"/>
        <v>Viernes</v>
      </c>
      <c r="D118" s="11"/>
      <c r="E118" s="11"/>
      <c r="F118" s="11"/>
      <c r="G118" s="6" t="str">
        <f t="shared" si="3"/>
        <v/>
      </c>
      <c r="H118" s="11"/>
      <c r="I118" s="6" t="str">
        <f t="shared" si="4"/>
        <v/>
      </c>
      <c r="J118" s="11"/>
      <c r="K118" s="6" t="str">
        <f t="shared" si="5"/>
        <v/>
      </c>
      <c r="L118" s="11"/>
      <c r="M118" s="6" t="str">
        <f t="shared" si="6"/>
        <v/>
      </c>
      <c r="N118" s="11"/>
      <c r="O118" s="6" t="str">
        <f t="shared" si="7"/>
        <v/>
      </c>
      <c r="P118" s="12"/>
      <c r="Q118" s="8" t="str">
        <f>IF(P118="","",P118*'Config  Metas'!$B$10)</f>
        <v/>
      </c>
      <c r="R118" s="4" t="str">
        <f>IF(COUNTA(D118,E118,F118,H118,J118,L118,N118,P118)=0,"",IF(AND(D118&gt;0,E118/D118&lt;'Config  Metas'!$B$8),"🚨 COBERTURA DE LLAMADOS BAJA",IF(G118&lt;'Config  Metas'!$B$2,"🚨 CONTACTO BAJO",IF(I118&lt;'Config  Metas'!$B$3,"🚨 AGENDAMIENTO BAJO",IF(K118&lt;'Config  Metas'!$B$4,"⚠️ SHOW BAJO",IF(M118&lt;'Config  Metas'!$B$5,"🚨 RESERVA BAJA",IF(O118&lt;'Config  Metas'!$B$6,"🚨 CIERRE BAJO",IF(P118&lt;D118*'Config  Metas'!$B$15*'Config  Metas'!$B$9,"🔻 UF BAJO RITMO DINÁMICO","✅ DÍA SOBRE RITMO"))))))))</f>
        <v/>
      </c>
      <c r="S118" s="10"/>
      <c r="T118" s="10"/>
      <c r="U118" s="2"/>
      <c r="V118" s="2"/>
      <c r="W118" s="2"/>
      <c r="X118" s="2"/>
      <c r="Y118" s="2"/>
      <c r="Z118" s="2"/>
    </row>
    <row r="119" ht="15.75" customHeight="1">
      <c r="A119" s="3">
        <v>46284.0</v>
      </c>
      <c r="B119" s="4" t="str">
        <f t="shared" si="1"/>
        <v>Sem 17</v>
      </c>
      <c r="C119" s="4" t="str">
        <f t="shared" si="2"/>
        <v>Sábado</v>
      </c>
      <c r="D119" s="11"/>
      <c r="E119" s="11"/>
      <c r="F119" s="11"/>
      <c r="G119" s="6" t="str">
        <f t="shared" si="3"/>
        <v/>
      </c>
      <c r="H119" s="11"/>
      <c r="I119" s="6" t="str">
        <f t="shared" si="4"/>
        <v/>
      </c>
      <c r="J119" s="11"/>
      <c r="K119" s="6" t="str">
        <f t="shared" si="5"/>
        <v/>
      </c>
      <c r="L119" s="11"/>
      <c r="M119" s="6" t="str">
        <f t="shared" si="6"/>
        <v/>
      </c>
      <c r="N119" s="11"/>
      <c r="O119" s="6" t="str">
        <f t="shared" si="7"/>
        <v/>
      </c>
      <c r="P119" s="12"/>
      <c r="Q119" s="8" t="str">
        <f>IF(P119="","",P119*'Config  Metas'!$B$10)</f>
        <v/>
      </c>
      <c r="R119" s="4" t="str">
        <f>IF(COUNTA(D119,E119,F119,H119,J119,L119,N119,P119)=0,"",IF(AND(D119&gt;0,E119/D119&lt;'Config  Metas'!$B$8),"🚨 COBERTURA DE LLAMADOS BAJA",IF(G119&lt;'Config  Metas'!$B$2,"🚨 CONTACTO BAJO",IF(I119&lt;'Config  Metas'!$B$3,"🚨 AGENDAMIENTO BAJO",IF(K119&lt;'Config  Metas'!$B$4,"⚠️ SHOW BAJO",IF(M119&lt;'Config  Metas'!$B$5,"🚨 RESERVA BAJA",IF(O119&lt;'Config  Metas'!$B$6,"🚨 CIERRE BAJO",IF(P119&lt;D119*'Config  Metas'!$B$15*'Config  Metas'!$B$9,"🔻 UF BAJO RITMO DINÁMICO","✅ DÍA SOBRE RITMO"))))))))</f>
        <v/>
      </c>
      <c r="S119" s="10"/>
      <c r="T119" s="10"/>
      <c r="U119" s="2"/>
      <c r="V119" s="2"/>
      <c r="W119" s="2"/>
      <c r="X119" s="2"/>
      <c r="Y119" s="2"/>
      <c r="Z119" s="2"/>
    </row>
    <row r="120" ht="15.75" customHeight="1">
      <c r="A120" s="3">
        <v>46285.0</v>
      </c>
      <c r="B120" s="4" t="str">
        <f t="shared" si="1"/>
        <v>Sem 17</v>
      </c>
      <c r="C120" s="4" t="str">
        <f t="shared" si="2"/>
        <v>Domingo</v>
      </c>
      <c r="D120" s="11"/>
      <c r="E120" s="11"/>
      <c r="F120" s="11"/>
      <c r="G120" s="6" t="str">
        <f t="shared" si="3"/>
        <v/>
      </c>
      <c r="H120" s="11"/>
      <c r="I120" s="6" t="str">
        <f t="shared" si="4"/>
        <v/>
      </c>
      <c r="J120" s="11"/>
      <c r="K120" s="6" t="str">
        <f t="shared" si="5"/>
        <v/>
      </c>
      <c r="L120" s="11"/>
      <c r="M120" s="6" t="str">
        <f t="shared" si="6"/>
        <v/>
      </c>
      <c r="N120" s="11"/>
      <c r="O120" s="6" t="str">
        <f t="shared" si="7"/>
        <v/>
      </c>
      <c r="P120" s="12"/>
      <c r="Q120" s="8" t="str">
        <f>IF(P120="","",P120*'Config  Metas'!$B$10)</f>
        <v/>
      </c>
      <c r="R120" s="4" t="str">
        <f>IF(COUNTA(D120,E120,F120,H120,J120,L120,N120,P120)=0,"",IF(AND(D120&gt;0,E120/D120&lt;'Config  Metas'!$B$8),"🚨 COBERTURA DE LLAMADOS BAJA",IF(G120&lt;'Config  Metas'!$B$2,"🚨 CONTACTO BAJO",IF(I120&lt;'Config  Metas'!$B$3,"🚨 AGENDAMIENTO BAJO",IF(K120&lt;'Config  Metas'!$B$4,"⚠️ SHOW BAJO",IF(M120&lt;'Config  Metas'!$B$5,"🚨 RESERVA BAJA",IF(O120&lt;'Config  Metas'!$B$6,"🚨 CIERRE BAJO",IF(P120&lt;D120*'Config  Metas'!$B$15*'Config  Metas'!$B$9,"🔻 UF BAJO RITMO DINÁMICO","✅ DÍA SOBRE RITMO"))))))))</f>
        <v/>
      </c>
      <c r="S120" s="10"/>
      <c r="T120" s="10"/>
      <c r="U120" s="2"/>
      <c r="V120" s="2"/>
      <c r="W120" s="2"/>
      <c r="X120" s="2"/>
      <c r="Y120" s="2"/>
      <c r="Z120" s="2"/>
    </row>
    <row r="121" ht="15.75" customHeight="1">
      <c r="A121" s="3">
        <v>46286.0</v>
      </c>
      <c r="B121" s="4" t="str">
        <f t="shared" si="1"/>
        <v>Sem 18</v>
      </c>
      <c r="C121" s="4" t="str">
        <f t="shared" si="2"/>
        <v>Lunes</v>
      </c>
      <c r="D121" s="11"/>
      <c r="E121" s="11"/>
      <c r="F121" s="11"/>
      <c r="G121" s="6" t="str">
        <f t="shared" si="3"/>
        <v/>
      </c>
      <c r="H121" s="11"/>
      <c r="I121" s="6" t="str">
        <f t="shared" si="4"/>
        <v/>
      </c>
      <c r="J121" s="11"/>
      <c r="K121" s="6" t="str">
        <f t="shared" si="5"/>
        <v/>
      </c>
      <c r="L121" s="11"/>
      <c r="M121" s="6" t="str">
        <f t="shared" si="6"/>
        <v/>
      </c>
      <c r="N121" s="11"/>
      <c r="O121" s="6" t="str">
        <f t="shared" si="7"/>
        <v/>
      </c>
      <c r="P121" s="12"/>
      <c r="Q121" s="8" t="str">
        <f>IF(P121="","",P121*'Config  Metas'!$B$10)</f>
        <v/>
      </c>
      <c r="R121" s="4" t="str">
        <f>IF(COUNTA(D121,E121,F121,H121,J121,L121,N121,P121)=0,"",IF(AND(D121&gt;0,E121/D121&lt;'Config  Metas'!$B$8),"🚨 COBERTURA DE LLAMADOS BAJA",IF(G121&lt;'Config  Metas'!$B$2,"🚨 CONTACTO BAJO",IF(I121&lt;'Config  Metas'!$B$3,"🚨 AGENDAMIENTO BAJO",IF(K121&lt;'Config  Metas'!$B$4,"⚠️ SHOW BAJO",IF(M121&lt;'Config  Metas'!$B$5,"🚨 RESERVA BAJA",IF(O121&lt;'Config  Metas'!$B$6,"🚨 CIERRE BAJO",IF(P121&lt;D121*'Config  Metas'!$B$15*'Config  Metas'!$B$9,"🔻 UF BAJO RITMO DINÁMICO","✅ DÍA SOBRE RITMO"))))))))</f>
        <v/>
      </c>
      <c r="S121" s="10"/>
      <c r="T121" s="10"/>
      <c r="U121" s="2"/>
      <c r="V121" s="2"/>
      <c r="W121" s="2"/>
      <c r="X121" s="2"/>
      <c r="Y121" s="2"/>
      <c r="Z121" s="2"/>
    </row>
    <row r="122" ht="15.75" customHeight="1">
      <c r="A122" s="3">
        <v>46287.0</v>
      </c>
      <c r="B122" s="4" t="str">
        <f t="shared" si="1"/>
        <v>Sem 18</v>
      </c>
      <c r="C122" s="4" t="str">
        <f t="shared" si="2"/>
        <v>Martes</v>
      </c>
      <c r="D122" s="11"/>
      <c r="E122" s="11"/>
      <c r="F122" s="11"/>
      <c r="G122" s="6" t="str">
        <f t="shared" si="3"/>
        <v/>
      </c>
      <c r="H122" s="11"/>
      <c r="I122" s="6" t="str">
        <f t="shared" si="4"/>
        <v/>
      </c>
      <c r="J122" s="11"/>
      <c r="K122" s="6" t="str">
        <f t="shared" si="5"/>
        <v/>
      </c>
      <c r="L122" s="11"/>
      <c r="M122" s="6" t="str">
        <f t="shared" si="6"/>
        <v/>
      </c>
      <c r="N122" s="11"/>
      <c r="O122" s="6" t="str">
        <f t="shared" si="7"/>
        <v/>
      </c>
      <c r="P122" s="12"/>
      <c r="Q122" s="8" t="str">
        <f>IF(P122="","",P122*'Config  Metas'!$B$10)</f>
        <v/>
      </c>
      <c r="R122" s="4" t="str">
        <f>IF(COUNTA(D122,E122,F122,H122,J122,L122,N122,P122)=0,"",IF(AND(D122&gt;0,E122/D122&lt;'Config  Metas'!$B$8),"🚨 COBERTURA DE LLAMADOS BAJA",IF(G122&lt;'Config  Metas'!$B$2,"🚨 CONTACTO BAJO",IF(I122&lt;'Config  Metas'!$B$3,"🚨 AGENDAMIENTO BAJO",IF(K122&lt;'Config  Metas'!$B$4,"⚠️ SHOW BAJO",IF(M122&lt;'Config  Metas'!$B$5,"🚨 RESERVA BAJA",IF(O122&lt;'Config  Metas'!$B$6,"🚨 CIERRE BAJO",IF(P122&lt;D122*'Config  Metas'!$B$15*'Config  Metas'!$B$9,"🔻 UF BAJO RITMO DINÁMICO","✅ DÍA SOBRE RITMO"))))))))</f>
        <v/>
      </c>
      <c r="S122" s="10"/>
      <c r="T122" s="10"/>
      <c r="U122" s="2"/>
      <c r="V122" s="2"/>
      <c r="W122" s="2"/>
      <c r="X122" s="2"/>
      <c r="Y122" s="2"/>
      <c r="Z122" s="2"/>
    </row>
    <row r="123" ht="15.75" customHeight="1">
      <c r="A123" s="3">
        <v>46288.0</v>
      </c>
      <c r="B123" s="4" t="str">
        <f t="shared" si="1"/>
        <v>Sem 18</v>
      </c>
      <c r="C123" s="4" t="str">
        <f t="shared" si="2"/>
        <v>Miércoles</v>
      </c>
      <c r="D123" s="11"/>
      <c r="E123" s="11"/>
      <c r="F123" s="11"/>
      <c r="G123" s="6" t="str">
        <f t="shared" si="3"/>
        <v/>
      </c>
      <c r="H123" s="11"/>
      <c r="I123" s="6" t="str">
        <f t="shared" si="4"/>
        <v/>
      </c>
      <c r="J123" s="11"/>
      <c r="K123" s="6" t="str">
        <f t="shared" si="5"/>
        <v/>
      </c>
      <c r="L123" s="11"/>
      <c r="M123" s="6" t="str">
        <f t="shared" si="6"/>
        <v/>
      </c>
      <c r="N123" s="11"/>
      <c r="O123" s="6" t="str">
        <f t="shared" si="7"/>
        <v/>
      </c>
      <c r="P123" s="12"/>
      <c r="Q123" s="8" t="str">
        <f>IF(P123="","",P123*'Config  Metas'!$B$10)</f>
        <v/>
      </c>
      <c r="R123" s="4" t="str">
        <f>IF(COUNTA(D123,E123,F123,H123,J123,L123,N123,P123)=0,"",IF(AND(D123&gt;0,E123/D123&lt;'Config  Metas'!$B$8),"🚨 COBERTURA DE LLAMADOS BAJA",IF(G123&lt;'Config  Metas'!$B$2,"🚨 CONTACTO BAJO",IF(I123&lt;'Config  Metas'!$B$3,"🚨 AGENDAMIENTO BAJO",IF(K123&lt;'Config  Metas'!$B$4,"⚠️ SHOW BAJO",IF(M123&lt;'Config  Metas'!$B$5,"🚨 RESERVA BAJA",IF(O123&lt;'Config  Metas'!$B$6,"🚨 CIERRE BAJO",IF(P123&lt;D123*'Config  Metas'!$B$15*'Config  Metas'!$B$9,"🔻 UF BAJO RITMO DINÁMICO","✅ DÍA SOBRE RITMO"))))))))</f>
        <v/>
      </c>
      <c r="S123" s="10"/>
      <c r="T123" s="10"/>
      <c r="U123" s="2"/>
      <c r="V123" s="2"/>
      <c r="W123" s="2"/>
      <c r="X123" s="2"/>
      <c r="Y123" s="2"/>
      <c r="Z123" s="2"/>
    </row>
    <row r="124" ht="15.75" customHeight="1">
      <c r="A124" s="3">
        <v>46289.0</v>
      </c>
      <c r="B124" s="4" t="str">
        <f t="shared" si="1"/>
        <v>Sem 18</v>
      </c>
      <c r="C124" s="4" t="str">
        <f t="shared" si="2"/>
        <v>Jueves</v>
      </c>
      <c r="D124" s="11"/>
      <c r="E124" s="11"/>
      <c r="F124" s="11"/>
      <c r="G124" s="6" t="str">
        <f t="shared" si="3"/>
        <v/>
      </c>
      <c r="H124" s="11"/>
      <c r="I124" s="6" t="str">
        <f t="shared" si="4"/>
        <v/>
      </c>
      <c r="J124" s="11"/>
      <c r="K124" s="6" t="str">
        <f t="shared" si="5"/>
        <v/>
      </c>
      <c r="L124" s="11"/>
      <c r="M124" s="6" t="str">
        <f t="shared" si="6"/>
        <v/>
      </c>
      <c r="N124" s="11"/>
      <c r="O124" s="6" t="str">
        <f t="shared" si="7"/>
        <v/>
      </c>
      <c r="P124" s="12"/>
      <c r="Q124" s="8" t="str">
        <f>IF(P124="","",P124*'Config  Metas'!$B$10)</f>
        <v/>
      </c>
      <c r="R124" s="4" t="str">
        <f>IF(COUNTA(D124,E124,F124,H124,J124,L124,N124,P124)=0,"",IF(AND(D124&gt;0,E124/D124&lt;'Config  Metas'!$B$8),"🚨 COBERTURA DE LLAMADOS BAJA",IF(G124&lt;'Config  Metas'!$B$2,"🚨 CONTACTO BAJO",IF(I124&lt;'Config  Metas'!$B$3,"🚨 AGENDAMIENTO BAJO",IF(K124&lt;'Config  Metas'!$B$4,"⚠️ SHOW BAJO",IF(M124&lt;'Config  Metas'!$B$5,"🚨 RESERVA BAJA",IF(O124&lt;'Config  Metas'!$B$6,"🚨 CIERRE BAJO",IF(P124&lt;D124*'Config  Metas'!$B$15*'Config  Metas'!$B$9,"🔻 UF BAJO RITMO DINÁMICO","✅ DÍA SOBRE RITMO"))))))))</f>
        <v/>
      </c>
      <c r="S124" s="10"/>
      <c r="T124" s="10"/>
      <c r="U124" s="2"/>
      <c r="V124" s="2"/>
      <c r="W124" s="2"/>
      <c r="X124" s="2"/>
      <c r="Y124" s="2"/>
      <c r="Z124" s="2"/>
    </row>
    <row r="125" ht="15.75" customHeight="1">
      <c r="A125" s="3">
        <v>46290.0</v>
      </c>
      <c r="B125" s="4" t="str">
        <f t="shared" si="1"/>
        <v>Sem 18</v>
      </c>
      <c r="C125" s="4" t="str">
        <f t="shared" si="2"/>
        <v>Viernes</v>
      </c>
      <c r="D125" s="11"/>
      <c r="E125" s="11"/>
      <c r="F125" s="11"/>
      <c r="G125" s="6" t="str">
        <f t="shared" si="3"/>
        <v/>
      </c>
      <c r="H125" s="11"/>
      <c r="I125" s="6" t="str">
        <f t="shared" si="4"/>
        <v/>
      </c>
      <c r="J125" s="11"/>
      <c r="K125" s="6" t="str">
        <f t="shared" si="5"/>
        <v/>
      </c>
      <c r="L125" s="11"/>
      <c r="M125" s="6" t="str">
        <f t="shared" si="6"/>
        <v/>
      </c>
      <c r="N125" s="11"/>
      <c r="O125" s="6" t="str">
        <f t="shared" si="7"/>
        <v/>
      </c>
      <c r="P125" s="12"/>
      <c r="Q125" s="8" t="str">
        <f>IF(P125="","",P125*'Config  Metas'!$B$10)</f>
        <v/>
      </c>
      <c r="R125" s="4" t="str">
        <f>IF(COUNTA(D125,E125,F125,H125,J125,L125,N125,P125)=0,"",IF(AND(D125&gt;0,E125/D125&lt;'Config  Metas'!$B$8),"🚨 COBERTURA DE LLAMADOS BAJA",IF(G125&lt;'Config  Metas'!$B$2,"🚨 CONTACTO BAJO",IF(I125&lt;'Config  Metas'!$B$3,"🚨 AGENDAMIENTO BAJO",IF(K125&lt;'Config  Metas'!$B$4,"⚠️ SHOW BAJO",IF(M125&lt;'Config  Metas'!$B$5,"🚨 RESERVA BAJA",IF(O125&lt;'Config  Metas'!$B$6,"🚨 CIERRE BAJO",IF(P125&lt;D125*'Config  Metas'!$B$15*'Config  Metas'!$B$9,"🔻 UF BAJO RITMO DINÁMICO","✅ DÍA SOBRE RITMO"))))))))</f>
        <v/>
      </c>
      <c r="S125" s="10"/>
      <c r="T125" s="10"/>
      <c r="U125" s="2"/>
      <c r="V125" s="2"/>
      <c r="W125" s="2"/>
      <c r="X125" s="2"/>
      <c r="Y125" s="2"/>
      <c r="Z125" s="2"/>
    </row>
    <row r="126" ht="15.75" customHeight="1">
      <c r="A126" s="3">
        <v>46291.0</v>
      </c>
      <c r="B126" s="4" t="str">
        <f t="shared" si="1"/>
        <v>Sem 18</v>
      </c>
      <c r="C126" s="4" t="str">
        <f t="shared" si="2"/>
        <v>Sábado</v>
      </c>
      <c r="D126" s="11"/>
      <c r="E126" s="11"/>
      <c r="F126" s="11"/>
      <c r="G126" s="6" t="str">
        <f t="shared" si="3"/>
        <v/>
      </c>
      <c r="H126" s="11"/>
      <c r="I126" s="6" t="str">
        <f t="shared" si="4"/>
        <v/>
      </c>
      <c r="J126" s="11"/>
      <c r="K126" s="6" t="str">
        <f t="shared" si="5"/>
        <v/>
      </c>
      <c r="L126" s="11"/>
      <c r="M126" s="6" t="str">
        <f t="shared" si="6"/>
        <v/>
      </c>
      <c r="N126" s="11"/>
      <c r="O126" s="6" t="str">
        <f t="shared" si="7"/>
        <v/>
      </c>
      <c r="P126" s="12"/>
      <c r="Q126" s="8" t="str">
        <f>IF(P126="","",P126*'Config  Metas'!$B$10)</f>
        <v/>
      </c>
      <c r="R126" s="4" t="str">
        <f>IF(COUNTA(D126,E126,F126,H126,J126,L126,N126,P126)=0,"",IF(AND(D126&gt;0,E126/D126&lt;'Config  Metas'!$B$8),"🚨 COBERTURA DE LLAMADOS BAJA",IF(G126&lt;'Config  Metas'!$B$2,"🚨 CONTACTO BAJO",IF(I126&lt;'Config  Metas'!$B$3,"🚨 AGENDAMIENTO BAJO",IF(K126&lt;'Config  Metas'!$B$4,"⚠️ SHOW BAJO",IF(M126&lt;'Config  Metas'!$B$5,"🚨 RESERVA BAJA",IF(O126&lt;'Config  Metas'!$B$6,"🚨 CIERRE BAJO",IF(P126&lt;D126*'Config  Metas'!$B$15*'Config  Metas'!$B$9,"🔻 UF BAJO RITMO DINÁMICO","✅ DÍA SOBRE RITMO"))))))))</f>
        <v/>
      </c>
      <c r="S126" s="10"/>
      <c r="T126" s="10"/>
      <c r="U126" s="2"/>
      <c r="V126" s="2"/>
      <c r="W126" s="2"/>
      <c r="X126" s="2"/>
      <c r="Y126" s="2"/>
      <c r="Z126" s="2"/>
    </row>
    <row r="127" ht="15.75" customHeight="1">
      <c r="A127" s="3">
        <v>46292.0</v>
      </c>
      <c r="B127" s="4" t="str">
        <f t="shared" si="1"/>
        <v>Sem 18</v>
      </c>
      <c r="C127" s="4" t="str">
        <f t="shared" si="2"/>
        <v>Domingo</v>
      </c>
      <c r="D127" s="11"/>
      <c r="E127" s="11"/>
      <c r="F127" s="11"/>
      <c r="G127" s="6" t="str">
        <f t="shared" si="3"/>
        <v/>
      </c>
      <c r="H127" s="11"/>
      <c r="I127" s="6" t="str">
        <f t="shared" si="4"/>
        <v/>
      </c>
      <c r="J127" s="11"/>
      <c r="K127" s="6" t="str">
        <f t="shared" si="5"/>
        <v/>
      </c>
      <c r="L127" s="11"/>
      <c r="M127" s="6" t="str">
        <f t="shared" si="6"/>
        <v/>
      </c>
      <c r="N127" s="11"/>
      <c r="O127" s="6" t="str">
        <f t="shared" si="7"/>
        <v/>
      </c>
      <c r="P127" s="12"/>
      <c r="Q127" s="8" t="str">
        <f>IF(P127="","",P127*'Config  Metas'!$B$10)</f>
        <v/>
      </c>
      <c r="R127" s="4" t="str">
        <f>IF(COUNTA(D127,E127,F127,H127,J127,L127,N127,P127)=0,"",IF(AND(D127&gt;0,E127/D127&lt;'Config  Metas'!$B$8),"🚨 COBERTURA DE LLAMADOS BAJA",IF(G127&lt;'Config  Metas'!$B$2,"🚨 CONTACTO BAJO",IF(I127&lt;'Config  Metas'!$B$3,"🚨 AGENDAMIENTO BAJO",IF(K127&lt;'Config  Metas'!$B$4,"⚠️ SHOW BAJO",IF(M127&lt;'Config  Metas'!$B$5,"🚨 RESERVA BAJA",IF(O127&lt;'Config  Metas'!$B$6,"🚨 CIERRE BAJO",IF(P127&lt;D127*'Config  Metas'!$B$15*'Config  Metas'!$B$9,"🔻 UF BAJO RITMO DINÁMICO","✅ DÍA SOBRE RITMO"))))))))</f>
        <v/>
      </c>
      <c r="S127" s="10"/>
      <c r="T127" s="10"/>
      <c r="U127" s="2"/>
      <c r="V127" s="2"/>
      <c r="W127" s="2"/>
      <c r="X127" s="2"/>
      <c r="Y127" s="2"/>
      <c r="Z127" s="2"/>
    </row>
    <row r="128" ht="15.75" customHeight="1">
      <c r="A128" s="3">
        <v>46293.0</v>
      </c>
      <c r="B128" s="4" t="str">
        <f t="shared" si="1"/>
        <v>Sem 19</v>
      </c>
      <c r="C128" s="4" t="str">
        <f t="shared" si="2"/>
        <v>Lunes</v>
      </c>
      <c r="D128" s="11"/>
      <c r="E128" s="11"/>
      <c r="F128" s="11"/>
      <c r="G128" s="6" t="str">
        <f t="shared" si="3"/>
        <v/>
      </c>
      <c r="H128" s="11"/>
      <c r="I128" s="6" t="str">
        <f t="shared" si="4"/>
        <v/>
      </c>
      <c r="J128" s="11"/>
      <c r="K128" s="6" t="str">
        <f t="shared" si="5"/>
        <v/>
      </c>
      <c r="L128" s="11"/>
      <c r="M128" s="6" t="str">
        <f t="shared" si="6"/>
        <v/>
      </c>
      <c r="N128" s="11"/>
      <c r="O128" s="6" t="str">
        <f t="shared" si="7"/>
        <v/>
      </c>
      <c r="P128" s="12"/>
      <c r="Q128" s="8" t="str">
        <f>IF(P128="","",P128*'Config  Metas'!$B$10)</f>
        <v/>
      </c>
      <c r="R128" s="4" t="str">
        <f>IF(COUNTA(D128,E128,F128,H128,J128,L128,N128,P128)=0,"",IF(AND(D128&gt;0,E128/D128&lt;'Config  Metas'!$B$8),"🚨 COBERTURA DE LLAMADOS BAJA",IF(G128&lt;'Config  Metas'!$B$2,"🚨 CONTACTO BAJO",IF(I128&lt;'Config  Metas'!$B$3,"🚨 AGENDAMIENTO BAJO",IF(K128&lt;'Config  Metas'!$B$4,"⚠️ SHOW BAJO",IF(M128&lt;'Config  Metas'!$B$5,"🚨 RESERVA BAJA",IF(O128&lt;'Config  Metas'!$B$6,"🚨 CIERRE BAJO",IF(P128&lt;D128*'Config  Metas'!$B$15*'Config  Metas'!$B$9,"🔻 UF BAJO RITMO DINÁMICO","✅ DÍA SOBRE RITMO"))))))))</f>
        <v/>
      </c>
      <c r="S128" s="10"/>
      <c r="T128" s="10"/>
      <c r="U128" s="2"/>
      <c r="V128" s="2"/>
      <c r="W128" s="2"/>
      <c r="X128" s="2"/>
      <c r="Y128" s="2"/>
      <c r="Z128" s="2"/>
    </row>
    <row r="129" ht="15.75" customHeight="1">
      <c r="A129" s="3">
        <v>46294.0</v>
      </c>
      <c r="B129" s="4" t="str">
        <f t="shared" si="1"/>
        <v>Sem 19</v>
      </c>
      <c r="C129" s="4" t="str">
        <f t="shared" si="2"/>
        <v>Martes</v>
      </c>
      <c r="D129" s="11"/>
      <c r="E129" s="11"/>
      <c r="F129" s="11"/>
      <c r="G129" s="6" t="str">
        <f t="shared" si="3"/>
        <v/>
      </c>
      <c r="H129" s="11"/>
      <c r="I129" s="6" t="str">
        <f t="shared" si="4"/>
        <v/>
      </c>
      <c r="J129" s="11"/>
      <c r="K129" s="6" t="str">
        <f t="shared" si="5"/>
        <v/>
      </c>
      <c r="L129" s="11"/>
      <c r="M129" s="6" t="str">
        <f t="shared" si="6"/>
        <v/>
      </c>
      <c r="N129" s="11"/>
      <c r="O129" s="6" t="str">
        <f t="shared" si="7"/>
        <v/>
      </c>
      <c r="P129" s="12"/>
      <c r="Q129" s="8" t="str">
        <f>IF(P129="","",P129*'Config  Metas'!$B$10)</f>
        <v/>
      </c>
      <c r="R129" s="4" t="str">
        <f>IF(COUNTA(D129,E129,F129,H129,J129,L129,N129,P129)=0,"",IF(AND(D129&gt;0,E129/D129&lt;'Config  Metas'!$B$8),"🚨 COBERTURA DE LLAMADOS BAJA",IF(G129&lt;'Config  Metas'!$B$2,"🚨 CONTACTO BAJO",IF(I129&lt;'Config  Metas'!$B$3,"🚨 AGENDAMIENTO BAJO",IF(K129&lt;'Config  Metas'!$B$4,"⚠️ SHOW BAJO",IF(M129&lt;'Config  Metas'!$B$5,"🚨 RESERVA BAJA",IF(O129&lt;'Config  Metas'!$B$6,"🚨 CIERRE BAJO",IF(P129&lt;D129*'Config  Metas'!$B$15*'Config  Metas'!$B$9,"🔻 UF BAJO RITMO DINÁMICO","✅ DÍA SOBRE RITMO"))))))))</f>
        <v/>
      </c>
      <c r="S129" s="10"/>
      <c r="T129" s="10"/>
      <c r="U129" s="2"/>
      <c r="V129" s="2"/>
      <c r="W129" s="2"/>
      <c r="X129" s="2"/>
      <c r="Y129" s="2"/>
      <c r="Z129" s="2"/>
    </row>
    <row r="130" ht="15.75" customHeight="1">
      <c r="A130" s="3">
        <v>46295.0</v>
      </c>
      <c r="B130" s="4" t="str">
        <f t="shared" si="1"/>
        <v>Sem 19</v>
      </c>
      <c r="C130" s="4" t="str">
        <f t="shared" si="2"/>
        <v>Miércoles</v>
      </c>
      <c r="D130" s="11"/>
      <c r="E130" s="11"/>
      <c r="F130" s="11"/>
      <c r="G130" s="6" t="str">
        <f t="shared" si="3"/>
        <v/>
      </c>
      <c r="H130" s="11"/>
      <c r="I130" s="6" t="str">
        <f t="shared" si="4"/>
        <v/>
      </c>
      <c r="J130" s="11"/>
      <c r="K130" s="6" t="str">
        <f t="shared" si="5"/>
        <v/>
      </c>
      <c r="L130" s="11"/>
      <c r="M130" s="6" t="str">
        <f t="shared" si="6"/>
        <v/>
      </c>
      <c r="N130" s="11"/>
      <c r="O130" s="6" t="str">
        <f t="shared" si="7"/>
        <v/>
      </c>
      <c r="P130" s="12"/>
      <c r="Q130" s="8" t="str">
        <f>IF(P130="","",P130*'Config  Metas'!$B$10)</f>
        <v/>
      </c>
      <c r="R130" s="4" t="str">
        <f>IF(COUNTA(D130,E130,F130,H130,J130,L130,N130,P130)=0,"",IF(AND(D130&gt;0,E130/D130&lt;'Config  Metas'!$B$8),"🚨 COBERTURA DE LLAMADOS BAJA",IF(G130&lt;'Config  Metas'!$B$2,"🚨 CONTACTO BAJO",IF(I130&lt;'Config  Metas'!$B$3,"🚨 AGENDAMIENTO BAJO",IF(K130&lt;'Config  Metas'!$B$4,"⚠️ SHOW BAJO",IF(M130&lt;'Config  Metas'!$B$5,"🚨 RESERVA BAJA",IF(O130&lt;'Config  Metas'!$B$6,"🚨 CIERRE BAJO",IF(P130&lt;D130*'Config  Metas'!$B$15*'Config  Metas'!$B$9,"🔻 UF BAJO RITMO DINÁMICO","✅ DÍA SOBRE RITMO"))))))))</f>
        <v/>
      </c>
      <c r="S130" s="10"/>
      <c r="T130" s="10"/>
      <c r="U130" s="2"/>
      <c r="V130" s="2"/>
      <c r="W130" s="2"/>
      <c r="X130" s="2"/>
      <c r="Y130" s="2"/>
      <c r="Z130" s="2"/>
    </row>
    <row r="131" ht="15.75" customHeight="1">
      <c r="A131" s="3">
        <v>46296.0</v>
      </c>
      <c r="B131" s="4" t="str">
        <f t="shared" si="1"/>
        <v>Sem 19</v>
      </c>
      <c r="C131" s="4" t="str">
        <f t="shared" si="2"/>
        <v>Jueves</v>
      </c>
      <c r="D131" s="11"/>
      <c r="E131" s="11"/>
      <c r="F131" s="11"/>
      <c r="G131" s="6" t="str">
        <f t="shared" si="3"/>
        <v/>
      </c>
      <c r="H131" s="11"/>
      <c r="I131" s="6" t="str">
        <f t="shared" si="4"/>
        <v/>
      </c>
      <c r="J131" s="11"/>
      <c r="K131" s="6" t="str">
        <f t="shared" si="5"/>
        <v/>
      </c>
      <c r="L131" s="11"/>
      <c r="M131" s="6" t="str">
        <f t="shared" si="6"/>
        <v/>
      </c>
      <c r="N131" s="11"/>
      <c r="O131" s="6" t="str">
        <f t="shared" si="7"/>
        <v/>
      </c>
      <c r="P131" s="12"/>
      <c r="Q131" s="8" t="str">
        <f>IF(P131="","",P131*'Config  Metas'!$B$10)</f>
        <v/>
      </c>
      <c r="R131" s="4" t="str">
        <f>IF(COUNTA(D131,E131,F131,H131,J131,L131,N131,P131)=0,"",IF(AND(D131&gt;0,E131/D131&lt;'Config  Metas'!$B$8),"🚨 COBERTURA DE LLAMADOS BAJA",IF(G131&lt;'Config  Metas'!$B$2,"🚨 CONTACTO BAJO",IF(I131&lt;'Config  Metas'!$B$3,"🚨 AGENDAMIENTO BAJO",IF(K131&lt;'Config  Metas'!$B$4,"⚠️ SHOW BAJO",IF(M131&lt;'Config  Metas'!$B$5,"🚨 RESERVA BAJA",IF(O131&lt;'Config  Metas'!$B$6,"🚨 CIERRE BAJO",IF(P131&lt;D131*'Config  Metas'!$B$15*'Config  Metas'!$B$9,"🔻 UF BAJO RITMO DINÁMICO","✅ DÍA SOBRE RITMO"))))))))</f>
        <v/>
      </c>
      <c r="S131" s="10"/>
      <c r="T131" s="10"/>
      <c r="U131" s="2"/>
      <c r="V131" s="2"/>
      <c r="W131" s="2"/>
      <c r="X131" s="2"/>
      <c r="Y131" s="2"/>
      <c r="Z131" s="2"/>
    </row>
    <row r="132" ht="15.75" customHeight="1">
      <c r="A132" s="3">
        <v>46297.0</v>
      </c>
      <c r="B132" s="4" t="str">
        <f t="shared" si="1"/>
        <v>Sem 19</v>
      </c>
      <c r="C132" s="4" t="str">
        <f t="shared" si="2"/>
        <v>Viernes</v>
      </c>
      <c r="D132" s="11"/>
      <c r="E132" s="11"/>
      <c r="F132" s="11"/>
      <c r="G132" s="6" t="str">
        <f t="shared" si="3"/>
        <v/>
      </c>
      <c r="H132" s="11"/>
      <c r="I132" s="6" t="str">
        <f t="shared" si="4"/>
        <v/>
      </c>
      <c r="J132" s="11"/>
      <c r="K132" s="6" t="str">
        <f t="shared" si="5"/>
        <v/>
      </c>
      <c r="L132" s="11"/>
      <c r="M132" s="6" t="str">
        <f t="shared" si="6"/>
        <v/>
      </c>
      <c r="N132" s="11"/>
      <c r="O132" s="6" t="str">
        <f t="shared" si="7"/>
        <v/>
      </c>
      <c r="P132" s="12"/>
      <c r="Q132" s="8" t="str">
        <f>IF(P132="","",P132*'Config  Metas'!$B$10)</f>
        <v/>
      </c>
      <c r="R132" s="4" t="str">
        <f>IF(COUNTA(D132,E132,F132,H132,J132,L132,N132,P132)=0,"",IF(AND(D132&gt;0,E132/D132&lt;'Config  Metas'!$B$8),"🚨 COBERTURA DE LLAMADOS BAJA",IF(G132&lt;'Config  Metas'!$B$2,"🚨 CONTACTO BAJO",IF(I132&lt;'Config  Metas'!$B$3,"🚨 AGENDAMIENTO BAJO",IF(K132&lt;'Config  Metas'!$B$4,"⚠️ SHOW BAJO",IF(M132&lt;'Config  Metas'!$B$5,"🚨 RESERVA BAJA",IF(O132&lt;'Config  Metas'!$B$6,"🚨 CIERRE BAJO",IF(P132&lt;D132*'Config  Metas'!$B$15*'Config  Metas'!$B$9,"🔻 UF BAJO RITMO DINÁMICO","✅ DÍA SOBRE RITMO"))))))))</f>
        <v/>
      </c>
      <c r="S132" s="10"/>
      <c r="T132" s="10"/>
      <c r="U132" s="2"/>
      <c r="V132" s="2"/>
      <c r="W132" s="2"/>
      <c r="X132" s="2"/>
      <c r="Y132" s="2"/>
      <c r="Z132" s="2"/>
    </row>
    <row r="133" ht="15.75" customHeight="1">
      <c r="A133" s="3">
        <v>46298.0</v>
      </c>
      <c r="B133" s="4" t="str">
        <f t="shared" si="1"/>
        <v>Sem 19</v>
      </c>
      <c r="C133" s="4" t="str">
        <f t="shared" si="2"/>
        <v>Sábado</v>
      </c>
      <c r="D133" s="11"/>
      <c r="E133" s="11"/>
      <c r="F133" s="11"/>
      <c r="G133" s="6" t="str">
        <f t="shared" si="3"/>
        <v/>
      </c>
      <c r="H133" s="11"/>
      <c r="I133" s="6" t="str">
        <f t="shared" si="4"/>
        <v/>
      </c>
      <c r="J133" s="11"/>
      <c r="K133" s="6" t="str">
        <f t="shared" si="5"/>
        <v/>
      </c>
      <c r="L133" s="11"/>
      <c r="M133" s="6" t="str">
        <f t="shared" si="6"/>
        <v/>
      </c>
      <c r="N133" s="11"/>
      <c r="O133" s="6" t="str">
        <f t="shared" si="7"/>
        <v/>
      </c>
      <c r="P133" s="12"/>
      <c r="Q133" s="8" t="str">
        <f>IF(P133="","",P133*'Config  Metas'!$B$10)</f>
        <v/>
      </c>
      <c r="R133" s="4" t="str">
        <f>IF(COUNTA(D133,E133,F133,H133,J133,L133,N133,P133)=0,"",IF(AND(D133&gt;0,E133/D133&lt;'Config  Metas'!$B$8),"🚨 COBERTURA DE LLAMADOS BAJA",IF(G133&lt;'Config  Metas'!$B$2,"🚨 CONTACTO BAJO",IF(I133&lt;'Config  Metas'!$B$3,"🚨 AGENDAMIENTO BAJO",IF(K133&lt;'Config  Metas'!$B$4,"⚠️ SHOW BAJO",IF(M133&lt;'Config  Metas'!$B$5,"🚨 RESERVA BAJA",IF(O133&lt;'Config  Metas'!$B$6,"🚨 CIERRE BAJO",IF(P133&lt;D133*'Config  Metas'!$B$15*'Config  Metas'!$B$9,"🔻 UF BAJO RITMO DINÁMICO","✅ DÍA SOBRE RITMO"))))))))</f>
        <v/>
      </c>
      <c r="S133" s="10"/>
      <c r="T133" s="10"/>
      <c r="U133" s="2"/>
      <c r="V133" s="2"/>
      <c r="W133" s="2"/>
      <c r="X133" s="2"/>
      <c r="Y133" s="2"/>
      <c r="Z133" s="2"/>
    </row>
    <row r="134" ht="15.75" customHeight="1">
      <c r="A134" s="3">
        <v>46299.0</v>
      </c>
      <c r="B134" s="4" t="str">
        <f t="shared" si="1"/>
        <v>Sem 19</v>
      </c>
      <c r="C134" s="4" t="str">
        <f t="shared" si="2"/>
        <v>Domingo</v>
      </c>
      <c r="D134" s="11"/>
      <c r="E134" s="11"/>
      <c r="F134" s="11"/>
      <c r="G134" s="6" t="str">
        <f t="shared" si="3"/>
        <v/>
      </c>
      <c r="H134" s="11"/>
      <c r="I134" s="6" t="str">
        <f t="shared" si="4"/>
        <v/>
      </c>
      <c r="J134" s="11"/>
      <c r="K134" s="6" t="str">
        <f t="shared" si="5"/>
        <v/>
      </c>
      <c r="L134" s="11"/>
      <c r="M134" s="6" t="str">
        <f t="shared" si="6"/>
        <v/>
      </c>
      <c r="N134" s="11"/>
      <c r="O134" s="6" t="str">
        <f t="shared" si="7"/>
        <v/>
      </c>
      <c r="P134" s="12"/>
      <c r="Q134" s="8" t="str">
        <f>IF(P134="","",P134*'Config  Metas'!$B$10)</f>
        <v/>
      </c>
      <c r="R134" s="4" t="str">
        <f>IF(COUNTA(D134,E134,F134,H134,J134,L134,N134,P134)=0,"",IF(AND(D134&gt;0,E134/D134&lt;'Config  Metas'!$B$8),"🚨 COBERTURA DE LLAMADOS BAJA",IF(G134&lt;'Config  Metas'!$B$2,"🚨 CONTACTO BAJO",IF(I134&lt;'Config  Metas'!$B$3,"🚨 AGENDAMIENTO BAJO",IF(K134&lt;'Config  Metas'!$B$4,"⚠️ SHOW BAJO",IF(M134&lt;'Config  Metas'!$B$5,"🚨 RESERVA BAJA",IF(O134&lt;'Config  Metas'!$B$6,"🚨 CIERRE BAJO",IF(P134&lt;D134*'Config  Metas'!$B$15*'Config  Metas'!$B$9,"🔻 UF BAJO RITMO DINÁMICO","✅ DÍA SOBRE RITMO"))))))))</f>
        <v/>
      </c>
      <c r="S134" s="10"/>
      <c r="T134" s="10"/>
      <c r="U134" s="2"/>
      <c r="V134" s="2"/>
      <c r="W134" s="2"/>
      <c r="X134" s="2"/>
      <c r="Y134" s="2"/>
      <c r="Z134" s="2"/>
    </row>
    <row r="135" ht="15.75" customHeight="1">
      <c r="A135" s="3">
        <v>46300.0</v>
      </c>
      <c r="B135" s="4" t="str">
        <f t="shared" si="1"/>
        <v>Sem 20</v>
      </c>
      <c r="C135" s="4" t="str">
        <f t="shared" si="2"/>
        <v>Lunes</v>
      </c>
      <c r="D135" s="11"/>
      <c r="E135" s="11"/>
      <c r="F135" s="11"/>
      <c r="G135" s="6" t="str">
        <f t="shared" si="3"/>
        <v/>
      </c>
      <c r="H135" s="11"/>
      <c r="I135" s="6" t="str">
        <f t="shared" si="4"/>
        <v/>
      </c>
      <c r="J135" s="11"/>
      <c r="K135" s="6" t="str">
        <f t="shared" si="5"/>
        <v/>
      </c>
      <c r="L135" s="11"/>
      <c r="M135" s="6" t="str">
        <f t="shared" si="6"/>
        <v/>
      </c>
      <c r="N135" s="11"/>
      <c r="O135" s="6" t="str">
        <f t="shared" si="7"/>
        <v/>
      </c>
      <c r="P135" s="12"/>
      <c r="Q135" s="8" t="str">
        <f>IF(P135="","",P135*'Config  Metas'!$B$10)</f>
        <v/>
      </c>
      <c r="R135" s="4" t="str">
        <f>IF(COUNTA(D135,E135,F135,H135,J135,L135,N135,P135)=0,"",IF(AND(D135&gt;0,E135/D135&lt;'Config  Metas'!$B$8),"🚨 COBERTURA DE LLAMADOS BAJA",IF(G135&lt;'Config  Metas'!$B$2,"🚨 CONTACTO BAJO",IF(I135&lt;'Config  Metas'!$B$3,"🚨 AGENDAMIENTO BAJO",IF(K135&lt;'Config  Metas'!$B$4,"⚠️ SHOW BAJO",IF(M135&lt;'Config  Metas'!$B$5,"🚨 RESERVA BAJA",IF(O135&lt;'Config  Metas'!$B$6,"🚨 CIERRE BAJO",IF(P135&lt;D135*'Config  Metas'!$B$15*'Config  Metas'!$B$9,"🔻 UF BAJO RITMO DINÁMICO","✅ DÍA SOBRE RITMO"))))))))</f>
        <v/>
      </c>
      <c r="S135" s="10"/>
      <c r="T135" s="10"/>
      <c r="U135" s="2"/>
      <c r="V135" s="2"/>
      <c r="W135" s="2"/>
      <c r="X135" s="2"/>
      <c r="Y135" s="2"/>
      <c r="Z135" s="2"/>
    </row>
    <row r="136" ht="15.75" customHeight="1">
      <c r="A136" s="3">
        <v>46301.0</v>
      </c>
      <c r="B136" s="4" t="str">
        <f t="shared" si="1"/>
        <v>Sem 20</v>
      </c>
      <c r="C136" s="4" t="str">
        <f t="shared" si="2"/>
        <v>Martes</v>
      </c>
      <c r="D136" s="11"/>
      <c r="E136" s="11"/>
      <c r="F136" s="11"/>
      <c r="G136" s="6" t="str">
        <f t="shared" si="3"/>
        <v/>
      </c>
      <c r="H136" s="11"/>
      <c r="I136" s="6" t="str">
        <f t="shared" si="4"/>
        <v/>
      </c>
      <c r="J136" s="11"/>
      <c r="K136" s="6" t="str">
        <f t="shared" si="5"/>
        <v/>
      </c>
      <c r="L136" s="11"/>
      <c r="M136" s="6" t="str">
        <f t="shared" si="6"/>
        <v/>
      </c>
      <c r="N136" s="11"/>
      <c r="O136" s="6" t="str">
        <f t="shared" si="7"/>
        <v/>
      </c>
      <c r="P136" s="12"/>
      <c r="Q136" s="8" t="str">
        <f>IF(P136="","",P136*'Config  Metas'!$B$10)</f>
        <v/>
      </c>
      <c r="R136" s="4" t="str">
        <f>IF(COUNTA(D136,E136,F136,H136,J136,L136,N136,P136)=0,"",IF(AND(D136&gt;0,E136/D136&lt;'Config  Metas'!$B$8),"🚨 COBERTURA DE LLAMADOS BAJA",IF(G136&lt;'Config  Metas'!$B$2,"🚨 CONTACTO BAJO",IF(I136&lt;'Config  Metas'!$B$3,"🚨 AGENDAMIENTO BAJO",IF(K136&lt;'Config  Metas'!$B$4,"⚠️ SHOW BAJO",IF(M136&lt;'Config  Metas'!$B$5,"🚨 RESERVA BAJA",IF(O136&lt;'Config  Metas'!$B$6,"🚨 CIERRE BAJO",IF(P136&lt;D136*'Config  Metas'!$B$15*'Config  Metas'!$B$9,"🔻 UF BAJO RITMO DINÁMICO","✅ DÍA SOBRE RITMO"))))))))</f>
        <v/>
      </c>
      <c r="S136" s="10"/>
      <c r="T136" s="10"/>
      <c r="U136" s="2"/>
      <c r="V136" s="2"/>
      <c r="W136" s="2"/>
      <c r="X136" s="2"/>
      <c r="Y136" s="2"/>
      <c r="Z136" s="2"/>
    </row>
    <row r="137" ht="15.75" customHeight="1">
      <c r="A137" s="3">
        <v>46302.0</v>
      </c>
      <c r="B137" s="4" t="str">
        <f t="shared" si="1"/>
        <v>Sem 20</v>
      </c>
      <c r="C137" s="4" t="str">
        <f t="shared" si="2"/>
        <v>Miércoles</v>
      </c>
      <c r="D137" s="11"/>
      <c r="E137" s="11"/>
      <c r="F137" s="11"/>
      <c r="G137" s="6" t="str">
        <f t="shared" si="3"/>
        <v/>
      </c>
      <c r="H137" s="11"/>
      <c r="I137" s="6" t="str">
        <f t="shared" si="4"/>
        <v/>
      </c>
      <c r="J137" s="11"/>
      <c r="K137" s="6" t="str">
        <f t="shared" si="5"/>
        <v/>
      </c>
      <c r="L137" s="11"/>
      <c r="M137" s="6" t="str">
        <f t="shared" si="6"/>
        <v/>
      </c>
      <c r="N137" s="11"/>
      <c r="O137" s="6" t="str">
        <f t="shared" si="7"/>
        <v/>
      </c>
      <c r="P137" s="12"/>
      <c r="Q137" s="8" t="str">
        <f>IF(P137="","",P137*'Config  Metas'!$B$10)</f>
        <v/>
      </c>
      <c r="R137" s="4" t="str">
        <f>IF(COUNTA(D137,E137,F137,H137,J137,L137,N137,P137)=0,"",IF(AND(D137&gt;0,E137/D137&lt;'Config  Metas'!$B$8),"🚨 COBERTURA DE LLAMADOS BAJA",IF(G137&lt;'Config  Metas'!$B$2,"🚨 CONTACTO BAJO",IF(I137&lt;'Config  Metas'!$B$3,"🚨 AGENDAMIENTO BAJO",IF(K137&lt;'Config  Metas'!$B$4,"⚠️ SHOW BAJO",IF(M137&lt;'Config  Metas'!$B$5,"🚨 RESERVA BAJA",IF(O137&lt;'Config  Metas'!$B$6,"🚨 CIERRE BAJO",IF(P137&lt;D137*'Config  Metas'!$B$15*'Config  Metas'!$B$9,"🔻 UF BAJO RITMO DINÁMICO","✅ DÍA SOBRE RITMO"))))))))</f>
        <v/>
      </c>
      <c r="S137" s="10"/>
      <c r="T137" s="10"/>
      <c r="U137" s="2"/>
      <c r="V137" s="2"/>
      <c r="W137" s="2"/>
      <c r="X137" s="2"/>
      <c r="Y137" s="2"/>
      <c r="Z137" s="2"/>
    </row>
    <row r="138" ht="15.75" customHeight="1">
      <c r="A138" s="3">
        <v>46303.0</v>
      </c>
      <c r="B138" s="4" t="str">
        <f t="shared" si="1"/>
        <v>Sem 20</v>
      </c>
      <c r="C138" s="4" t="str">
        <f t="shared" si="2"/>
        <v>Jueves</v>
      </c>
      <c r="D138" s="11"/>
      <c r="E138" s="11"/>
      <c r="F138" s="11"/>
      <c r="G138" s="6" t="str">
        <f t="shared" si="3"/>
        <v/>
      </c>
      <c r="H138" s="11"/>
      <c r="I138" s="6" t="str">
        <f t="shared" si="4"/>
        <v/>
      </c>
      <c r="J138" s="11"/>
      <c r="K138" s="6" t="str">
        <f t="shared" si="5"/>
        <v/>
      </c>
      <c r="L138" s="11"/>
      <c r="M138" s="6" t="str">
        <f t="shared" si="6"/>
        <v/>
      </c>
      <c r="N138" s="11"/>
      <c r="O138" s="6" t="str">
        <f t="shared" si="7"/>
        <v/>
      </c>
      <c r="P138" s="12"/>
      <c r="Q138" s="8" t="str">
        <f>IF(P138="","",P138*'Config  Metas'!$B$10)</f>
        <v/>
      </c>
      <c r="R138" s="4" t="str">
        <f>IF(COUNTA(D138,E138,F138,H138,J138,L138,N138,P138)=0,"",IF(AND(D138&gt;0,E138/D138&lt;'Config  Metas'!$B$8),"🚨 COBERTURA DE LLAMADOS BAJA",IF(G138&lt;'Config  Metas'!$B$2,"🚨 CONTACTO BAJO",IF(I138&lt;'Config  Metas'!$B$3,"🚨 AGENDAMIENTO BAJO",IF(K138&lt;'Config  Metas'!$B$4,"⚠️ SHOW BAJO",IF(M138&lt;'Config  Metas'!$B$5,"🚨 RESERVA BAJA",IF(O138&lt;'Config  Metas'!$B$6,"🚨 CIERRE BAJO",IF(P138&lt;D138*'Config  Metas'!$B$15*'Config  Metas'!$B$9,"🔻 UF BAJO RITMO DINÁMICO","✅ DÍA SOBRE RITMO"))))))))</f>
        <v/>
      </c>
      <c r="S138" s="10"/>
      <c r="T138" s="10"/>
      <c r="U138" s="2"/>
      <c r="V138" s="2"/>
      <c r="W138" s="2"/>
      <c r="X138" s="2"/>
      <c r="Y138" s="2"/>
      <c r="Z138" s="2"/>
    </row>
    <row r="139" ht="15.75" customHeight="1">
      <c r="A139" s="3">
        <v>46304.0</v>
      </c>
      <c r="B139" s="4" t="str">
        <f t="shared" si="1"/>
        <v>Sem 20</v>
      </c>
      <c r="C139" s="4" t="str">
        <f t="shared" si="2"/>
        <v>Viernes</v>
      </c>
      <c r="D139" s="11"/>
      <c r="E139" s="11"/>
      <c r="F139" s="11"/>
      <c r="G139" s="6" t="str">
        <f t="shared" si="3"/>
        <v/>
      </c>
      <c r="H139" s="11"/>
      <c r="I139" s="6" t="str">
        <f t="shared" si="4"/>
        <v/>
      </c>
      <c r="J139" s="11"/>
      <c r="K139" s="6" t="str">
        <f t="shared" si="5"/>
        <v/>
      </c>
      <c r="L139" s="11"/>
      <c r="M139" s="6" t="str">
        <f t="shared" si="6"/>
        <v/>
      </c>
      <c r="N139" s="11"/>
      <c r="O139" s="6" t="str">
        <f t="shared" si="7"/>
        <v/>
      </c>
      <c r="P139" s="12"/>
      <c r="Q139" s="8" t="str">
        <f>IF(P139="","",P139*'Config  Metas'!$B$10)</f>
        <v/>
      </c>
      <c r="R139" s="4" t="str">
        <f>IF(COUNTA(D139,E139,F139,H139,J139,L139,N139,P139)=0,"",IF(AND(D139&gt;0,E139/D139&lt;'Config  Metas'!$B$8),"🚨 COBERTURA DE LLAMADOS BAJA",IF(G139&lt;'Config  Metas'!$B$2,"🚨 CONTACTO BAJO",IF(I139&lt;'Config  Metas'!$B$3,"🚨 AGENDAMIENTO BAJO",IF(K139&lt;'Config  Metas'!$B$4,"⚠️ SHOW BAJO",IF(M139&lt;'Config  Metas'!$B$5,"🚨 RESERVA BAJA",IF(O139&lt;'Config  Metas'!$B$6,"🚨 CIERRE BAJO",IF(P139&lt;D139*'Config  Metas'!$B$15*'Config  Metas'!$B$9,"🔻 UF BAJO RITMO DINÁMICO","✅ DÍA SOBRE RITMO"))))))))</f>
        <v/>
      </c>
      <c r="S139" s="10"/>
      <c r="T139" s="10"/>
      <c r="U139" s="2"/>
      <c r="V139" s="2"/>
      <c r="W139" s="2"/>
      <c r="X139" s="2"/>
      <c r="Y139" s="2"/>
      <c r="Z139" s="2"/>
    </row>
    <row r="140" ht="15.75" customHeight="1">
      <c r="A140" s="3">
        <v>46305.0</v>
      </c>
      <c r="B140" s="4" t="str">
        <f t="shared" si="1"/>
        <v>Sem 20</v>
      </c>
      <c r="C140" s="4" t="str">
        <f t="shared" si="2"/>
        <v>Sábado</v>
      </c>
      <c r="D140" s="11"/>
      <c r="E140" s="11"/>
      <c r="F140" s="11"/>
      <c r="G140" s="6" t="str">
        <f t="shared" si="3"/>
        <v/>
      </c>
      <c r="H140" s="11"/>
      <c r="I140" s="6" t="str">
        <f t="shared" si="4"/>
        <v/>
      </c>
      <c r="J140" s="11"/>
      <c r="K140" s="6" t="str">
        <f t="shared" si="5"/>
        <v/>
      </c>
      <c r="L140" s="11"/>
      <c r="M140" s="6" t="str">
        <f t="shared" si="6"/>
        <v/>
      </c>
      <c r="N140" s="11"/>
      <c r="O140" s="6" t="str">
        <f t="shared" si="7"/>
        <v/>
      </c>
      <c r="P140" s="12"/>
      <c r="Q140" s="8" t="str">
        <f>IF(P140="","",P140*'Config  Metas'!$B$10)</f>
        <v/>
      </c>
      <c r="R140" s="4" t="str">
        <f>IF(COUNTA(D140,E140,F140,H140,J140,L140,N140,P140)=0,"",IF(AND(D140&gt;0,E140/D140&lt;'Config  Metas'!$B$8),"🚨 COBERTURA DE LLAMADOS BAJA",IF(G140&lt;'Config  Metas'!$B$2,"🚨 CONTACTO BAJO",IF(I140&lt;'Config  Metas'!$B$3,"🚨 AGENDAMIENTO BAJO",IF(K140&lt;'Config  Metas'!$B$4,"⚠️ SHOW BAJO",IF(M140&lt;'Config  Metas'!$B$5,"🚨 RESERVA BAJA",IF(O140&lt;'Config  Metas'!$B$6,"🚨 CIERRE BAJO",IF(P140&lt;D140*'Config  Metas'!$B$15*'Config  Metas'!$B$9,"🔻 UF BAJO RITMO DINÁMICO","✅ DÍA SOBRE RITMO"))))))))</f>
        <v/>
      </c>
      <c r="S140" s="10"/>
      <c r="T140" s="10"/>
      <c r="U140" s="2"/>
      <c r="V140" s="2"/>
      <c r="W140" s="2"/>
      <c r="X140" s="2"/>
      <c r="Y140" s="2"/>
      <c r="Z140" s="2"/>
    </row>
    <row r="141" ht="15.75" customHeight="1">
      <c r="A141" s="3">
        <v>46306.0</v>
      </c>
      <c r="B141" s="4" t="str">
        <f t="shared" si="1"/>
        <v>Sem 20</v>
      </c>
      <c r="C141" s="4" t="str">
        <f t="shared" si="2"/>
        <v>Domingo</v>
      </c>
      <c r="D141" s="11"/>
      <c r="E141" s="11"/>
      <c r="F141" s="11"/>
      <c r="G141" s="6" t="str">
        <f t="shared" si="3"/>
        <v/>
      </c>
      <c r="H141" s="11"/>
      <c r="I141" s="6" t="str">
        <f t="shared" si="4"/>
        <v/>
      </c>
      <c r="J141" s="11"/>
      <c r="K141" s="6" t="str">
        <f t="shared" si="5"/>
        <v/>
      </c>
      <c r="L141" s="11"/>
      <c r="M141" s="6" t="str">
        <f t="shared" si="6"/>
        <v/>
      </c>
      <c r="N141" s="11"/>
      <c r="O141" s="6" t="str">
        <f t="shared" si="7"/>
        <v/>
      </c>
      <c r="P141" s="12"/>
      <c r="Q141" s="8" t="str">
        <f>IF(P141="","",P141*'Config  Metas'!$B$10)</f>
        <v/>
      </c>
      <c r="R141" s="4" t="str">
        <f>IF(COUNTA(D141,E141,F141,H141,J141,L141,N141,P141)=0,"",IF(AND(D141&gt;0,E141/D141&lt;'Config  Metas'!$B$8),"🚨 COBERTURA DE LLAMADOS BAJA",IF(G141&lt;'Config  Metas'!$B$2,"🚨 CONTACTO BAJO",IF(I141&lt;'Config  Metas'!$B$3,"🚨 AGENDAMIENTO BAJO",IF(K141&lt;'Config  Metas'!$B$4,"⚠️ SHOW BAJO",IF(M141&lt;'Config  Metas'!$B$5,"🚨 RESERVA BAJA",IF(O141&lt;'Config  Metas'!$B$6,"🚨 CIERRE BAJO",IF(P141&lt;D141*'Config  Metas'!$B$15*'Config  Metas'!$B$9,"🔻 UF BAJO RITMO DINÁMICO","✅ DÍA SOBRE RITMO"))))))))</f>
        <v/>
      </c>
      <c r="S141" s="10"/>
      <c r="T141" s="10"/>
      <c r="U141" s="2"/>
      <c r="V141" s="2"/>
      <c r="W141" s="2"/>
      <c r="X141" s="2"/>
      <c r="Y141" s="2"/>
      <c r="Z141" s="2"/>
    </row>
    <row r="142" ht="15.75" customHeight="1">
      <c r="A142" s="3">
        <v>46307.0</v>
      </c>
      <c r="B142" s="4" t="str">
        <f t="shared" si="1"/>
        <v>Sem 21</v>
      </c>
      <c r="C142" s="4" t="str">
        <f t="shared" si="2"/>
        <v>Lunes</v>
      </c>
      <c r="D142" s="11"/>
      <c r="E142" s="11"/>
      <c r="F142" s="11"/>
      <c r="G142" s="6" t="str">
        <f t="shared" si="3"/>
        <v/>
      </c>
      <c r="H142" s="11"/>
      <c r="I142" s="6" t="str">
        <f t="shared" si="4"/>
        <v/>
      </c>
      <c r="J142" s="11"/>
      <c r="K142" s="6" t="str">
        <f t="shared" si="5"/>
        <v/>
      </c>
      <c r="L142" s="11"/>
      <c r="M142" s="6" t="str">
        <f t="shared" si="6"/>
        <v/>
      </c>
      <c r="N142" s="11"/>
      <c r="O142" s="6" t="str">
        <f t="shared" si="7"/>
        <v/>
      </c>
      <c r="P142" s="12"/>
      <c r="Q142" s="8" t="str">
        <f>IF(P142="","",P142*'Config  Metas'!$B$10)</f>
        <v/>
      </c>
      <c r="R142" s="4" t="str">
        <f>IF(COUNTA(D142,E142,F142,H142,J142,L142,N142,P142)=0,"",IF(AND(D142&gt;0,E142/D142&lt;'Config  Metas'!$B$8),"🚨 COBERTURA DE LLAMADOS BAJA",IF(G142&lt;'Config  Metas'!$B$2,"🚨 CONTACTO BAJO",IF(I142&lt;'Config  Metas'!$B$3,"🚨 AGENDAMIENTO BAJO",IF(K142&lt;'Config  Metas'!$B$4,"⚠️ SHOW BAJO",IF(M142&lt;'Config  Metas'!$B$5,"🚨 RESERVA BAJA",IF(O142&lt;'Config  Metas'!$B$6,"🚨 CIERRE BAJO",IF(P142&lt;D142*'Config  Metas'!$B$15*'Config  Metas'!$B$9,"🔻 UF BAJO RITMO DINÁMICO","✅ DÍA SOBRE RITMO"))))))))</f>
        <v/>
      </c>
      <c r="S142" s="10"/>
      <c r="T142" s="10"/>
      <c r="U142" s="2"/>
      <c r="V142" s="2"/>
      <c r="W142" s="2"/>
      <c r="X142" s="2"/>
      <c r="Y142" s="2"/>
      <c r="Z142" s="2"/>
    </row>
    <row r="143" ht="15.75" customHeight="1">
      <c r="A143" s="3">
        <v>46308.0</v>
      </c>
      <c r="B143" s="4" t="str">
        <f t="shared" si="1"/>
        <v>Sem 21</v>
      </c>
      <c r="C143" s="4" t="str">
        <f t="shared" si="2"/>
        <v>Martes</v>
      </c>
      <c r="D143" s="11"/>
      <c r="E143" s="11"/>
      <c r="F143" s="11"/>
      <c r="G143" s="6" t="str">
        <f t="shared" si="3"/>
        <v/>
      </c>
      <c r="H143" s="11"/>
      <c r="I143" s="6" t="str">
        <f t="shared" si="4"/>
        <v/>
      </c>
      <c r="J143" s="11"/>
      <c r="K143" s="6" t="str">
        <f t="shared" si="5"/>
        <v/>
      </c>
      <c r="L143" s="11"/>
      <c r="M143" s="6" t="str">
        <f t="shared" si="6"/>
        <v/>
      </c>
      <c r="N143" s="11"/>
      <c r="O143" s="6" t="str">
        <f t="shared" si="7"/>
        <v/>
      </c>
      <c r="P143" s="12"/>
      <c r="Q143" s="8" t="str">
        <f>IF(P143="","",P143*'Config  Metas'!$B$10)</f>
        <v/>
      </c>
      <c r="R143" s="4" t="str">
        <f>IF(COUNTA(D143,E143,F143,H143,J143,L143,N143,P143)=0,"",IF(AND(D143&gt;0,E143/D143&lt;'Config  Metas'!$B$8),"🚨 COBERTURA DE LLAMADOS BAJA",IF(G143&lt;'Config  Metas'!$B$2,"🚨 CONTACTO BAJO",IF(I143&lt;'Config  Metas'!$B$3,"🚨 AGENDAMIENTO BAJO",IF(K143&lt;'Config  Metas'!$B$4,"⚠️ SHOW BAJO",IF(M143&lt;'Config  Metas'!$B$5,"🚨 RESERVA BAJA",IF(O143&lt;'Config  Metas'!$B$6,"🚨 CIERRE BAJO",IF(P143&lt;D143*'Config  Metas'!$B$15*'Config  Metas'!$B$9,"🔻 UF BAJO RITMO DINÁMICO","✅ DÍA SOBRE RITMO"))))))))</f>
        <v/>
      </c>
      <c r="S143" s="10"/>
      <c r="T143" s="10"/>
      <c r="U143" s="2"/>
      <c r="V143" s="2"/>
      <c r="W143" s="2"/>
      <c r="X143" s="2"/>
      <c r="Y143" s="2"/>
      <c r="Z143" s="2"/>
    </row>
    <row r="144" ht="15.75" customHeight="1">
      <c r="A144" s="3">
        <v>46309.0</v>
      </c>
      <c r="B144" s="4" t="str">
        <f t="shared" si="1"/>
        <v>Sem 21</v>
      </c>
      <c r="C144" s="4" t="str">
        <f t="shared" si="2"/>
        <v>Miércoles</v>
      </c>
      <c r="D144" s="11"/>
      <c r="E144" s="11"/>
      <c r="F144" s="11"/>
      <c r="G144" s="6" t="str">
        <f t="shared" si="3"/>
        <v/>
      </c>
      <c r="H144" s="11"/>
      <c r="I144" s="6" t="str">
        <f t="shared" si="4"/>
        <v/>
      </c>
      <c r="J144" s="11"/>
      <c r="K144" s="6" t="str">
        <f t="shared" si="5"/>
        <v/>
      </c>
      <c r="L144" s="11"/>
      <c r="M144" s="6" t="str">
        <f t="shared" si="6"/>
        <v/>
      </c>
      <c r="N144" s="11"/>
      <c r="O144" s="6" t="str">
        <f t="shared" si="7"/>
        <v/>
      </c>
      <c r="P144" s="12"/>
      <c r="Q144" s="8" t="str">
        <f>IF(P144="","",P144*'Config  Metas'!$B$10)</f>
        <v/>
      </c>
      <c r="R144" s="4" t="str">
        <f>IF(COUNTA(D144,E144,F144,H144,J144,L144,N144,P144)=0,"",IF(AND(D144&gt;0,E144/D144&lt;'Config  Metas'!$B$8),"🚨 COBERTURA DE LLAMADOS BAJA",IF(G144&lt;'Config  Metas'!$B$2,"🚨 CONTACTO BAJO",IF(I144&lt;'Config  Metas'!$B$3,"🚨 AGENDAMIENTO BAJO",IF(K144&lt;'Config  Metas'!$B$4,"⚠️ SHOW BAJO",IF(M144&lt;'Config  Metas'!$B$5,"🚨 RESERVA BAJA",IF(O144&lt;'Config  Metas'!$B$6,"🚨 CIERRE BAJO",IF(P144&lt;D144*'Config  Metas'!$B$15*'Config  Metas'!$B$9,"🔻 UF BAJO RITMO DINÁMICO","✅ DÍA SOBRE RITMO"))))))))</f>
        <v/>
      </c>
      <c r="S144" s="10"/>
      <c r="T144" s="10"/>
      <c r="U144" s="2"/>
      <c r="V144" s="2"/>
      <c r="W144" s="2"/>
      <c r="X144" s="2"/>
      <c r="Y144" s="2"/>
      <c r="Z144" s="2"/>
    </row>
    <row r="145" ht="15.75" customHeight="1">
      <c r="A145" s="3">
        <v>46310.0</v>
      </c>
      <c r="B145" s="4" t="str">
        <f t="shared" si="1"/>
        <v>Sem 21</v>
      </c>
      <c r="C145" s="4" t="str">
        <f t="shared" si="2"/>
        <v>Jueves</v>
      </c>
      <c r="D145" s="11"/>
      <c r="E145" s="11"/>
      <c r="F145" s="11"/>
      <c r="G145" s="6" t="str">
        <f t="shared" si="3"/>
        <v/>
      </c>
      <c r="H145" s="11"/>
      <c r="I145" s="6" t="str">
        <f t="shared" si="4"/>
        <v/>
      </c>
      <c r="J145" s="11"/>
      <c r="K145" s="6" t="str">
        <f t="shared" si="5"/>
        <v/>
      </c>
      <c r="L145" s="11"/>
      <c r="M145" s="6" t="str">
        <f t="shared" si="6"/>
        <v/>
      </c>
      <c r="N145" s="11"/>
      <c r="O145" s="6" t="str">
        <f t="shared" si="7"/>
        <v/>
      </c>
      <c r="P145" s="12"/>
      <c r="Q145" s="8" t="str">
        <f>IF(P145="","",P145*'Config  Metas'!$B$10)</f>
        <v/>
      </c>
      <c r="R145" s="4" t="str">
        <f>IF(COUNTA(D145,E145,F145,H145,J145,L145,N145,P145)=0,"",IF(AND(D145&gt;0,E145/D145&lt;'Config  Metas'!$B$8),"🚨 COBERTURA DE LLAMADOS BAJA",IF(G145&lt;'Config  Metas'!$B$2,"🚨 CONTACTO BAJO",IF(I145&lt;'Config  Metas'!$B$3,"🚨 AGENDAMIENTO BAJO",IF(K145&lt;'Config  Metas'!$B$4,"⚠️ SHOW BAJO",IF(M145&lt;'Config  Metas'!$B$5,"🚨 RESERVA BAJA",IF(O145&lt;'Config  Metas'!$B$6,"🚨 CIERRE BAJO",IF(P145&lt;D145*'Config  Metas'!$B$15*'Config  Metas'!$B$9,"🔻 UF BAJO RITMO DINÁMICO","✅ DÍA SOBRE RITMO"))))))))</f>
        <v/>
      </c>
      <c r="S145" s="10"/>
      <c r="T145" s="10"/>
      <c r="U145" s="2"/>
      <c r="V145" s="2"/>
      <c r="W145" s="2"/>
      <c r="X145" s="2"/>
      <c r="Y145" s="2"/>
      <c r="Z145" s="2"/>
    </row>
    <row r="146" ht="15.75" customHeight="1">
      <c r="A146" s="3">
        <v>46311.0</v>
      </c>
      <c r="B146" s="4" t="str">
        <f t="shared" si="1"/>
        <v>Sem 21</v>
      </c>
      <c r="C146" s="4" t="str">
        <f t="shared" si="2"/>
        <v>Viernes</v>
      </c>
      <c r="D146" s="11"/>
      <c r="E146" s="11"/>
      <c r="F146" s="11"/>
      <c r="G146" s="6" t="str">
        <f t="shared" si="3"/>
        <v/>
      </c>
      <c r="H146" s="11"/>
      <c r="I146" s="6" t="str">
        <f t="shared" si="4"/>
        <v/>
      </c>
      <c r="J146" s="11"/>
      <c r="K146" s="6" t="str">
        <f t="shared" si="5"/>
        <v/>
      </c>
      <c r="L146" s="11"/>
      <c r="M146" s="6" t="str">
        <f t="shared" si="6"/>
        <v/>
      </c>
      <c r="N146" s="11"/>
      <c r="O146" s="6" t="str">
        <f t="shared" si="7"/>
        <v/>
      </c>
      <c r="P146" s="12"/>
      <c r="Q146" s="8" t="str">
        <f>IF(P146="","",P146*'Config  Metas'!$B$10)</f>
        <v/>
      </c>
      <c r="R146" s="4" t="str">
        <f>IF(COUNTA(D146,E146,F146,H146,J146,L146,N146,P146)=0,"",IF(AND(D146&gt;0,E146/D146&lt;'Config  Metas'!$B$8),"🚨 COBERTURA DE LLAMADOS BAJA",IF(G146&lt;'Config  Metas'!$B$2,"🚨 CONTACTO BAJO",IF(I146&lt;'Config  Metas'!$B$3,"🚨 AGENDAMIENTO BAJO",IF(K146&lt;'Config  Metas'!$B$4,"⚠️ SHOW BAJO",IF(M146&lt;'Config  Metas'!$B$5,"🚨 RESERVA BAJA",IF(O146&lt;'Config  Metas'!$B$6,"🚨 CIERRE BAJO",IF(P146&lt;D146*'Config  Metas'!$B$15*'Config  Metas'!$B$9,"🔻 UF BAJO RITMO DINÁMICO","✅ DÍA SOBRE RITMO"))))))))</f>
        <v/>
      </c>
      <c r="S146" s="10"/>
      <c r="T146" s="10"/>
      <c r="U146" s="2"/>
      <c r="V146" s="2"/>
      <c r="W146" s="2"/>
      <c r="X146" s="2"/>
      <c r="Y146" s="2"/>
      <c r="Z146" s="2"/>
    </row>
    <row r="147" ht="15.75" customHeight="1">
      <c r="A147" s="3">
        <v>46312.0</v>
      </c>
      <c r="B147" s="4" t="str">
        <f t="shared" si="1"/>
        <v>Sem 21</v>
      </c>
      <c r="C147" s="4" t="str">
        <f t="shared" si="2"/>
        <v>Sábado</v>
      </c>
      <c r="D147" s="11"/>
      <c r="E147" s="11"/>
      <c r="F147" s="11"/>
      <c r="G147" s="6" t="str">
        <f t="shared" si="3"/>
        <v/>
      </c>
      <c r="H147" s="11"/>
      <c r="I147" s="6" t="str">
        <f t="shared" si="4"/>
        <v/>
      </c>
      <c r="J147" s="11"/>
      <c r="K147" s="6" t="str">
        <f t="shared" si="5"/>
        <v/>
      </c>
      <c r="L147" s="11"/>
      <c r="M147" s="6" t="str">
        <f t="shared" si="6"/>
        <v/>
      </c>
      <c r="N147" s="11"/>
      <c r="O147" s="6" t="str">
        <f t="shared" si="7"/>
        <v/>
      </c>
      <c r="P147" s="12"/>
      <c r="Q147" s="8" t="str">
        <f>IF(P147="","",P147*'Config  Metas'!$B$10)</f>
        <v/>
      </c>
      <c r="R147" s="4" t="str">
        <f>IF(COUNTA(D147,E147,F147,H147,J147,L147,N147,P147)=0,"",IF(AND(D147&gt;0,E147/D147&lt;'Config  Metas'!$B$8),"🚨 COBERTURA DE LLAMADOS BAJA",IF(G147&lt;'Config  Metas'!$B$2,"🚨 CONTACTO BAJO",IF(I147&lt;'Config  Metas'!$B$3,"🚨 AGENDAMIENTO BAJO",IF(K147&lt;'Config  Metas'!$B$4,"⚠️ SHOW BAJO",IF(M147&lt;'Config  Metas'!$B$5,"🚨 RESERVA BAJA",IF(O147&lt;'Config  Metas'!$B$6,"🚨 CIERRE BAJO",IF(P147&lt;D147*'Config  Metas'!$B$15*'Config  Metas'!$B$9,"🔻 UF BAJO RITMO DINÁMICO","✅ DÍA SOBRE RITMO"))))))))</f>
        <v/>
      </c>
      <c r="S147" s="10"/>
      <c r="T147" s="10"/>
      <c r="U147" s="2"/>
      <c r="V147" s="2"/>
      <c r="W147" s="2"/>
      <c r="X147" s="2"/>
      <c r="Y147" s="2"/>
      <c r="Z147" s="2"/>
    </row>
    <row r="148" ht="15.75" customHeight="1">
      <c r="A148" s="3">
        <v>46313.0</v>
      </c>
      <c r="B148" s="4" t="str">
        <f t="shared" si="1"/>
        <v>Sem 21</v>
      </c>
      <c r="C148" s="4" t="str">
        <f t="shared" si="2"/>
        <v>Domingo</v>
      </c>
      <c r="D148" s="11"/>
      <c r="E148" s="11"/>
      <c r="F148" s="11"/>
      <c r="G148" s="6" t="str">
        <f t="shared" si="3"/>
        <v/>
      </c>
      <c r="H148" s="11"/>
      <c r="I148" s="6" t="str">
        <f t="shared" si="4"/>
        <v/>
      </c>
      <c r="J148" s="11"/>
      <c r="K148" s="6" t="str">
        <f t="shared" si="5"/>
        <v/>
      </c>
      <c r="L148" s="11"/>
      <c r="M148" s="6" t="str">
        <f t="shared" si="6"/>
        <v/>
      </c>
      <c r="N148" s="11"/>
      <c r="O148" s="6" t="str">
        <f t="shared" si="7"/>
        <v/>
      </c>
      <c r="P148" s="12"/>
      <c r="Q148" s="8" t="str">
        <f>IF(P148="","",P148*'Config  Metas'!$B$10)</f>
        <v/>
      </c>
      <c r="R148" s="4" t="str">
        <f>IF(COUNTA(D148,E148,F148,H148,J148,L148,N148,P148)=0,"",IF(AND(D148&gt;0,E148/D148&lt;'Config  Metas'!$B$8),"🚨 COBERTURA DE LLAMADOS BAJA",IF(G148&lt;'Config  Metas'!$B$2,"🚨 CONTACTO BAJO",IF(I148&lt;'Config  Metas'!$B$3,"🚨 AGENDAMIENTO BAJO",IF(K148&lt;'Config  Metas'!$B$4,"⚠️ SHOW BAJO",IF(M148&lt;'Config  Metas'!$B$5,"🚨 RESERVA BAJA",IF(O148&lt;'Config  Metas'!$B$6,"🚨 CIERRE BAJO",IF(P148&lt;D148*'Config  Metas'!$B$15*'Config  Metas'!$B$9,"🔻 UF BAJO RITMO DINÁMICO","✅ DÍA SOBRE RITMO"))))))))</f>
        <v/>
      </c>
      <c r="S148" s="10"/>
      <c r="T148" s="10"/>
      <c r="U148" s="2"/>
      <c r="V148" s="2"/>
      <c r="W148" s="2"/>
      <c r="X148" s="2"/>
      <c r="Y148" s="2"/>
      <c r="Z148" s="2"/>
    </row>
    <row r="149" ht="15.75" customHeight="1">
      <c r="A149" s="3">
        <v>46314.0</v>
      </c>
      <c r="B149" s="4" t="str">
        <f t="shared" si="1"/>
        <v>Sem 22</v>
      </c>
      <c r="C149" s="4" t="str">
        <f t="shared" si="2"/>
        <v>Lunes</v>
      </c>
      <c r="D149" s="11"/>
      <c r="E149" s="11"/>
      <c r="F149" s="11"/>
      <c r="G149" s="6" t="str">
        <f t="shared" si="3"/>
        <v/>
      </c>
      <c r="H149" s="11"/>
      <c r="I149" s="6" t="str">
        <f t="shared" si="4"/>
        <v/>
      </c>
      <c r="J149" s="11"/>
      <c r="K149" s="6" t="str">
        <f t="shared" si="5"/>
        <v/>
      </c>
      <c r="L149" s="11"/>
      <c r="M149" s="6" t="str">
        <f t="shared" si="6"/>
        <v/>
      </c>
      <c r="N149" s="11"/>
      <c r="O149" s="6" t="str">
        <f t="shared" si="7"/>
        <v/>
      </c>
      <c r="P149" s="12"/>
      <c r="Q149" s="8" t="str">
        <f>IF(P149="","",P149*'Config  Metas'!$B$10)</f>
        <v/>
      </c>
      <c r="R149" s="4" t="str">
        <f>IF(COUNTA(D149,E149,F149,H149,J149,L149,N149,P149)=0,"",IF(AND(D149&gt;0,E149/D149&lt;'Config  Metas'!$B$8),"🚨 COBERTURA DE LLAMADOS BAJA",IF(G149&lt;'Config  Metas'!$B$2,"🚨 CONTACTO BAJO",IF(I149&lt;'Config  Metas'!$B$3,"🚨 AGENDAMIENTO BAJO",IF(K149&lt;'Config  Metas'!$B$4,"⚠️ SHOW BAJO",IF(M149&lt;'Config  Metas'!$B$5,"🚨 RESERVA BAJA",IF(O149&lt;'Config  Metas'!$B$6,"🚨 CIERRE BAJO",IF(P149&lt;D149*'Config  Metas'!$B$15*'Config  Metas'!$B$9,"🔻 UF BAJO RITMO DINÁMICO","✅ DÍA SOBRE RITMO"))))))))</f>
        <v/>
      </c>
      <c r="S149" s="10"/>
      <c r="T149" s="10"/>
      <c r="U149" s="2"/>
      <c r="V149" s="2"/>
      <c r="W149" s="2"/>
      <c r="X149" s="2"/>
      <c r="Y149" s="2"/>
      <c r="Z149" s="2"/>
    </row>
    <row r="150" ht="15.75" customHeight="1">
      <c r="A150" s="3">
        <v>46315.0</v>
      </c>
      <c r="B150" s="4" t="str">
        <f t="shared" si="1"/>
        <v>Sem 22</v>
      </c>
      <c r="C150" s="4" t="str">
        <f t="shared" si="2"/>
        <v>Martes</v>
      </c>
      <c r="D150" s="11"/>
      <c r="E150" s="11"/>
      <c r="F150" s="11"/>
      <c r="G150" s="6" t="str">
        <f t="shared" si="3"/>
        <v/>
      </c>
      <c r="H150" s="11"/>
      <c r="I150" s="6" t="str">
        <f t="shared" si="4"/>
        <v/>
      </c>
      <c r="J150" s="11"/>
      <c r="K150" s="6" t="str">
        <f t="shared" si="5"/>
        <v/>
      </c>
      <c r="L150" s="11"/>
      <c r="M150" s="6" t="str">
        <f t="shared" si="6"/>
        <v/>
      </c>
      <c r="N150" s="11"/>
      <c r="O150" s="6" t="str">
        <f t="shared" si="7"/>
        <v/>
      </c>
      <c r="P150" s="12"/>
      <c r="Q150" s="8" t="str">
        <f>IF(P150="","",P150*'Config  Metas'!$B$10)</f>
        <v/>
      </c>
      <c r="R150" s="4" t="str">
        <f>IF(COUNTA(D150,E150,F150,H150,J150,L150,N150,P150)=0,"",IF(AND(D150&gt;0,E150/D150&lt;'Config  Metas'!$B$8),"🚨 COBERTURA DE LLAMADOS BAJA",IF(G150&lt;'Config  Metas'!$B$2,"🚨 CONTACTO BAJO",IF(I150&lt;'Config  Metas'!$B$3,"🚨 AGENDAMIENTO BAJO",IF(K150&lt;'Config  Metas'!$B$4,"⚠️ SHOW BAJO",IF(M150&lt;'Config  Metas'!$B$5,"🚨 RESERVA BAJA",IF(O150&lt;'Config  Metas'!$B$6,"🚨 CIERRE BAJO",IF(P150&lt;D150*'Config  Metas'!$B$15*'Config  Metas'!$B$9,"🔻 UF BAJO RITMO DINÁMICO","✅ DÍA SOBRE RITMO"))))))))</f>
        <v/>
      </c>
      <c r="S150" s="10"/>
      <c r="T150" s="10"/>
      <c r="U150" s="2"/>
      <c r="V150" s="2"/>
      <c r="W150" s="2"/>
      <c r="X150" s="2"/>
      <c r="Y150" s="2"/>
      <c r="Z150" s="2"/>
    </row>
    <row r="151" ht="15.75" customHeight="1">
      <c r="A151" s="3">
        <v>46316.0</v>
      </c>
      <c r="B151" s="4" t="str">
        <f t="shared" si="1"/>
        <v>Sem 22</v>
      </c>
      <c r="C151" s="4" t="str">
        <f t="shared" si="2"/>
        <v>Miércoles</v>
      </c>
      <c r="D151" s="11"/>
      <c r="E151" s="11"/>
      <c r="F151" s="11"/>
      <c r="G151" s="6" t="str">
        <f t="shared" si="3"/>
        <v/>
      </c>
      <c r="H151" s="11"/>
      <c r="I151" s="6" t="str">
        <f t="shared" si="4"/>
        <v/>
      </c>
      <c r="J151" s="11"/>
      <c r="K151" s="6" t="str">
        <f t="shared" si="5"/>
        <v/>
      </c>
      <c r="L151" s="11"/>
      <c r="M151" s="6" t="str">
        <f t="shared" si="6"/>
        <v/>
      </c>
      <c r="N151" s="11"/>
      <c r="O151" s="6" t="str">
        <f t="shared" si="7"/>
        <v/>
      </c>
      <c r="P151" s="12"/>
      <c r="Q151" s="8" t="str">
        <f>IF(P151="","",P151*'Config  Metas'!$B$10)</f>
        <v/>
      </c>
      <c r="R151" s="4" t="str">
        <f>IF(COUNTA(D151,E151,F151,H151,J151,L151,N151,P151)=0,"",IF(AND(D151&gt;0,E151/D151&lt;'Config  Metas'!$B$8),"🚨 COBERTURA DE LLAMADOS BAJA",IF(G151&lt;'Config  Metas'!$B$2,"🚨 CONTACTO BAJO",IF(I151&lt;'Config  Metas'!$B$3,"🚨 AGENDAMIENTO BAJO",IF(K151&lt;'Config  Metas'!$B$4,"⚠️ SHOW BAJO",IF(M151&lt;'Config  Metas'!$B$5,"🚨 RESERVA BAJA",IF(O151&lt;'Config  Metas'!$B$6,"🚨 CIERRE BAJO",IF(P151&lt;D151*'Config  Metas'!$B$15*'Config  Metas'!$B$9,"🔻 UF BAJO RITMO DINÁMICO","✅ DÍA SOBRE RITMO"))))))))</f>
        <v/>
      </c>
      <c r="S151" s="10"/>
      <c r="T151" s="10"/>
      <c r="U151" s="2"/>
      <c r="V151" s="2"/>
      <c r="W151" s="2"/>
      <c r="X151" s="2"/>
      <c r="Y151" s="2"/>
      <c r="Z151" s="2"/>
    </row>
    <row r="152" ht="15.75" customHeight="1">
      <c r="A152" s="3">
        <v>46317.0</v>
      </c>
      <c r="B152" s="4" t="str">
        <f t="shared" si="1"/>
        <v>Sem 22</v>
      </c>
      <c r="C152" s="4" t="str">
        <f t="shared" si="2"/>
        <v>Jueves</v>
      </c>
      <c r="D152" s="11"/>
      <c r="E152" s="11"/>
      <c r="F152" s="11"/>
      <c r="G152" s="6" t="str">
        <f t="shared" si="3"/>
        <v/>
      </c>
      <c r="H152" s="11"/>
      <c r="I152" s="6" t="str">
        <f t="shared" si="4"/>
        <v/>
      </c>
      <c r="J152" s="11"/>
      <c r="K152" s="6" t="str">
        <f t="shared" si="5"/>
        <v/>
      </c>
      <c r="L152" s="11"/>
      <c r="M152" s="6" t="str">
        <f t="shared" si="6"/>
        <v/>
      </c>
      <c r="N152" s="11"/>
      <c r="O152" s="6" t="str">
        <f t="shared" si="7"/>
        <v/>
      </c>
      <c r="P152" s="12"/>
      <c r="Q152" s="8" t="str">
        <f>IF(P152="","",P152*'Config  Metas'!$B$10)</f>
        <v/>
      </c>
      <c r="R152" s="4" t="str">
        <f>IF(COUNTA(D152,E152,F152,H152,J152,L152,N152,P152)=0,"",IF(AND(D152&gt;0,E152/D152&lt;'Config  Metas'!$B$8),"🚨 COBERTURA DE LLAMADOS BAJA",IF(G152&lt;'Config  Metas'!$B$2,"🚨 CONTACTO BAJO",IF(I152&lt;'Config  Metas'!$B$3,"🚨 AGENDAMIENTO BAJO",IF(K152&lt;'Config  Metas'!$B$4,"⚠️ SHOW BAJO",IF(M152&lt;'Config  Metas'!$B$5,"🚨 RESERVA BAJA",IF(O152&lt;'Config  Metas'!$B$6,"🚨 CIERRE BAJO",IF(P152&lt;D152*'Config  Metas'!$B$15*'Config  Metas'!$B$9,"🔻 UF BAJO RITMO DINÁMICO","✅ DÍA SOBRE RITMO"))))))))</f>
        <v/>
      </c>
      <c r="S152" s="10"/>
      <c r="T152" s="10"/>
      <c r="U152" s="2"/>
      <c r="V152" s="2"/>
      <c r="W152" s="2"/>
      <c r="X152" s="2"/>
      <c r="Y152" s="2"/>
      <c r="Z152" s="2"/>
    </row>
    <row r="153" ht="15.75" customHeight="1">
      <c r="A153" s="3">
        <v>46318.0</v>
      </c>
      <c r="B153" s="4" t="str">
        <f t="shared" si="1"/>
        <v>Sem 22</v>
      </c>
      <c r="C153" s="4" t="str">
        <f t="shared" si="2"/>
        <v>Viernes</v>
      </c>
      <c r="D153" s="11"/>
      <c r="E153" s="11"/>
      <c r="F153" s="11"/>
      <c r="G153" s="6" t="str">
        <f t="shared" si="3"/>
        <v/>
      </c>
      <c r="H153" s="11"/>
      <c r="I153" s="6" t="str">
        <f t="shared" si="4"/>
        <v/>
      </c>
      <c r="J153" s="11"/>
      <c r="K153" s="6" t="str">
        <f t="shared" si="5"/>
        <v/>
      </c>
      <c r="L153" s="11"/>
      <c r="M153" s="6" t="str">
        <f t="shared" si="6"/>
        <v/>
      </c>
      <c r="N153" s="11"/>
      <c r="O153" s="6" t="str">
        <f t="shared" si="7"/>
        <v/>
      </c>
      <c r="P153" s="12"/>
      <c r="Q153" s="8" t="str">
        <f>IF(P153="","",P153*'Config  Metas'!$B$10)</f>
        <v/>
      </c>
      <c r="R153" s="4" t="str">
        <f>IF(COUNTA(D153,E153,F153,H153,J153,L153,N153,P153)=0,"",IF(AND(D153&gt;0,E153/D153&lt;'Config  Metas'!$B$8),"🚨 COBERTURA DE LLAMADOS BAJA",IF(G153&lt;'Config  Metas'!$B$2,"🚨 CONTACTO BAJO",IF(I153&lt;'Config  Metas'!$B$3,"🚨 AGENDAMIENTO BAJO",IF(K153&lt;'Config  Metas'!$B$4,"⚠️ SHOW BAJO",IF(M153&lt;'Config  Metas'!$B$5,"🚨 RESERVA BAJA",IF(O153&lt;'Config  Metas'!$B$6,"🚨 CIERRE BAJO",IF(P153&lt;D153*'Config  Metas'!$B$15*'Config  Metas'!$B$9,"🔻 UF BAJO RITMO DINÁMICO","✅ DÍA SOBRE RITMO"))))))))</f>
        <v/>
      </c>
      <c r="S153" s="10"/>
      <c r="T153" s="10"/>
      <c r="U153" s="2"/>
      <c r="V153" s="2"/>
      <c r="W153" s="2"/>
      <c r="X153" s="2"/>
      <c r="Y153" s="2"/>
      <c r="Z153" s="2"/>
    </row>
    <row r="154" ht="15.75" customHeight="1">
      <c r="A154" s="3">
        <v>46319.0</v>
      </c>
      <c r="B154" s="4" t="str">
        <f t="shared" si="1"/>
        <v>Sem 22</v>
      </c>
      <c r="C154" s="4" t="str">
        <f t="shared" si="2"/>
        <v>Sábado</v>
      </c>
      <c r="D154" s="11"/>
      <c r="E154" s="11"/>
      <c r="F154" s="11"/>
      <c r="G154" s="6" t="str">
        <f t="shared" si="3"/>
        <v/>
      </c>
      <c r="H154" s="11"/>
      <c r="I154" s="6" t="str">
        <f t="shared" si="4"/>
        <v/>
      </c>
      <c r="J154" s="11"/>
      <c r="K154" s="6" t="str">
        <f t="shared" si="5"/>
        <v/>
      </c>
      <c r="L154" s="11"/>
      <c r="M154" s="6" t="str">
        <f t="shared" si="6"/>
        <v/>
      </c>
      <c r="N154" s="11"/>
      <c r="O154" s="6" t="str">
        <f t="shared" si="7"/>
        <v/>
      </c>
      <c r="P154" s="12"/>
      <c r="Q154" s="8" t="str">
        <f>IF(P154="","",P154*'Config  Metas'!$B$10)</f>
        <v/>
      </c>
      <c r="R154" s="4" t="str">
        <f>IF(COUNTA(D154,E154,F154,H154,J154,L154,N154,P154)=0,"",IF(AND(D154&gt;0,E154/D154&lt;'Config  Metas'!$B$8),"🚨 COBERTURA DE LLAMADOS BAJA",IF(G154&lt;'Config  Metas'!$B$2,"🚨 CONTACTO BAJO",IF(I154&lt;'Config  Metas'!$B$3,"🚨 AGENDAMIENTO BAJO",IF(K154&lt;'Config  Metas'!$B$4,"⚠️ SHOW BAJO",IF(M154&lt;'Config  Metas'!$B$5,"🚨 RESERVA BAJA",IF(O154&lt;'Config  Metas'!$B$6,"🚨 CIERRE BAJO",IF(P154&lt;D154*'Config  Metas'!$B$15*'Config  Metas'!$B$9,"🔻 UF BAJO RITMO DINÁMICO","✅ DÍA SOBRE RITMO"))))))))</f>
        <v/>
      </c>
      <c r="S154" s="10"/>
      <c r="T154" s="10"/>
      <c r="U154" s="2"/>
      <c r="V154" s="2"/>
      <c r="W154" s="2"/>
      <c r="X154" s="2"/>
      <c r="Y154" s="2"/>
      <c r="Z154" s="2"/>
    </row>
    <row r="155" ht="15.75" customHeight="1">
      <c r="A155" s="3">
        <v>46320.0</v>
      </c>
      <c r="B155" s="4" t="str">
        <f t="shared" si="1"/>
        <v>Sem 22</v>
      </c>
      <c r="C155" s="4" t="str">
        <f t="shared" si="2"/>
        <v>Domingo</v>
      </c>
      <c r="D155" s="11"/>
      <c r="E155" s="11"/>
      <c r="F155" s="11"/>
      <c r="G155" s="6" t="str">
        <f t="shared" si="3"/>
        <v/>
      </c>
      <c r="H155" s="11"/>
      <c r="I155" s="6" t="str">
        <f t="shared" si="4"/>
        <v/>
      </c>
      <c r="J155" s="11"/>
      <c r="K155" s="6" t="str">
        <f t="shared" si="5"/>
        <v/>
      </c>
      <c r="L155" s="11"/>
      <c r="M155" s="6" t="str">
        <f t="shared" si="6"/>
        <v/>
      </c>
      <c r="N155" s="11"/>
      <c r="O155" s="6" t="str">
        <f t="shared" si="7"/>
        <v/>
      </c>
      <c r="P155" s="12"/>
      <c r="Q155" s="8" t="str">
        <f>IF(P155="","",P155*'Config  Metas'!$B$10)</f>
        <v/>
      </c>
      <c r="R155" s="4" t="str">
        <f>IF(COUNTA(D155,E155,F155,H155,J155,L155,N155,P155)=0,"",IF(AND(D155&gt;0,E155/D155&lt;'Config  Metas'!$B$8),"🚨 COBERTURA DE LLAMADOS BAJA",IF(G155&lt;'Config  Metas'!$B$2,"🚨 CONTACTO BAJO",IF(I155&lt;'Config  Metas'!$B$3,"🚨 AGENDAMIENTO BAJO",IF(K155&lt;'Config  Metas'!$B$4,"⚠️ SHOW BAJO",IF(M155&lt;'Config  Metas'!$B$5,"🚨 RESERVA BAJA",IF(O155&lt;'Config  Metas'!$B$6,"🚨 CIERRE BAJO",IF(P155&lt;D155*'Config  Metas'!$B$15*'Config  Metas'!$B$9,"🔻 UF BAJO RITMO DINÁMICO","✅ DÍA SOBRE RITMO"))))))))</f>
        <v/>
      </c>
      <c r="S155" s="10"/>
      <c r="T155" s="10"/>
      <c r="U155" s="2"/>
      <c r="V155" s="2"/>
      <c r="W155" s="2"/>
      <c r="X155" s="2"/>
      <c r="Y155" s="2"/>
      <c r="Z155" s="2"/>
    </row>
    <row r="156" ht="15.75" customHeight="1">
      <c r="A156" s="3">
        <v>46321.0</v>
      </c>
      <c r="B156" s="4" t="str">
        <f t="shared" si="1"/>
        <v>Sem 23</v>
      </c>
      <c r="C156" s="4" t="str">
        <f t="shared" si="2"/>
        <v>Lunes</v>
      </c>
      <c r="D156" s="11"/>
      <c r="E156" s="11"/>
      <c r="F156" s="11"/>
      <c r="G156" s="6" t="str">
        <f t="shared" si="3"/>
        <v/>
      </c>
      <c r="H156" s="11"/>
      <c r="I156" s="6" t="str">
        <f t="shared" si="4"/>
        <v/>
      </c>
      <c r="J156" s="11"/>
      <c r="K156" s="6" t="str">
        <f t="shared" si="5"/>
        <v/>
      </c>
      <c r="L156" s="11"/>
      <c r="M156" s="6" t="str">
        <f t="shared" si="6"/>
        <v/>
      </c>
      <c r="N156" s="11"/>
      <c r="O156" s="6" t="str">
        <f t="shared" si="7"/>
        <v/>
      </c>
      <c r="P156" s="12"/>
      <c r="Q156" s="8" t="str">
        <f>IF(P156="","",P156*'Config  Metas'!$B$10)</f>
        <v/>
      </c>
      <c r="R156" s="4" t="str">
        <f>IF(COUNTA(D156,E156,F156,H156,J156,L156,N156,P156)=0,"",IF(AND(D156&gt;0,E156/D156&lt;'Config  Metas'!$B$8),"🚨 COBERTURA DE LLAMADOS BAJA",IF(G156&lt;'Config  Metas'!$B$2,"🚨 CONTACTO BAJO",IF(I156&lt;'Config  Metas'!$B$3,"🚨 AGENDAMIENTO BAJO",IF(K156&lt;'Config  Metas'!$B$4,"⚠️ SHOW BAJO",IF(M156&lt;'Config  Metas'!$B$5,"🚨 RESERVA BAJA",IF(O156&lt;'Config  Metas'!$B$6,"🚨 CIERRE BAJO",IF(P156&lt;D156*'Config  Metas'!$B$15*'Config  Metas'!$B$9,"🔻 UF BAJO RITMO DINÁMICO","✅ DÍA SOBRE RITMO"))))))))</f>
        <v/>
      </c>
      <c r="S156" s="10"/>
      <c r="T156" s="10"/>
      <c r="U156" s="2"/>
      <c r="V156" s="2"/>
      <c r="W156" s="2"/>
      <c r="X156" s="2"/>
      <c r="Y156" s="2"/>
      <c r="Z156" s="2"/>
    </row>
    <row r="157" ht="15.75" customHeight="1">
      <c r="A157" s="3">
        <v>46322.0</v>
      </c>
      <c r="B157" s="4" t="str">
        <f t="shared" si="1"/>
        <v>Sem 23</v>
      </c>
      <c r="C157" s="4" t="str">
        <f t="shared" si="2"/>
        <v>Martes</v>
      </c>
      <c r="D157" s="11"/>
      <c r="E157" s="11"/>
      <c r="F157" s="11"/>
      <c r="G157" s="6" t="str">
        <f t="shared" si="3"/>
        <v/>
      </c>
      <c r="H157" s="11"/>
      <c r="I157" s="6" t="str">
        <f t="shared" si="4"/>
        <v/>
      </c>
      <c r="J157" s="11"/>
      <c r="K157" s="6" t="str">
        <f t="shared" si="5"/>
        <v/>
      </c>
      <c r="L157" s="11"/>
      <c r="M157" s="6" t="str">
        <f t="shared" si="6"/>
        <v/>
      </c>
      <c r="N157" s="11"/>
      <c r="O157" s="6" t="str">
        <f t="shared" si="7"/>
        <v/>
      </c>
      <c r="P157" s="12"/>
      <c r="Q157" s="8" t="str">
        <f>IF(P157="","",P157*'Config  Metas'!$B$10)</f>
        <v/>
      </c>
      <c r="R157" s="4" t="str">
        <f>IF(COUNTA(D157,E157,F157,H157,J157,L157,N157,P157)=0,"",IF(AND(D157&gt;0,E157/D157&lt;'Config  Metas'!$B$8),"🚨 COBERTURA DE LLAMADOS BAJA",IF(G157&lt;'Config  Metas'!$B$2,"🚨 CONTACTO BAJO",IF(I157&lt;'Config  Metas'!$B$3,"🚨 AGENDAMIENTO BAJO",IF(K157&lt;'Config  Metas'!$B$4,"⚠️ SHOW BAJO",IF(M157&lt;'Config  Metas'!$B$5,"🚨 RESERVA BAJA",IF(O157&lt;'Config  Metas'!$B$6,"🚨 CIERRE BAJO",IF(P157&lt;D157*'Config  Metas'!$B$15*'Config  Metas'!$B$9,"🔻 UF BAJO RITMO DINÁMICO","✅ DÍA SOBRE RITMO"))))))))</f>
        <v/>
      </c>
      <c r="S157" s="10"/>
      <c r="T157" s="10"/>
      <c r="U157" s="2"/>
      <c r="V157" s="2"/>
      <c r="W157" s="2"/>
      <c r="X157" s="2"/>
      <c r="Y157" s="2"/>
      <c r="Z157" s="2"/>
    </row>
    <row r="158" ht="15.75" customHeight="1">
      <c r="A158" s="3">
        <v>46323.0</v>
      </c>
      <c r="B158" s="4" t="str">
        <f t="shared" si="1"/>
        <v>Sem 23</v>
      </c>
      <c r="C158" s="4" t="str">
        <f t="shared" si="2"/>
        <v>Miércoles</v>
      </c>
      <c r="D158" s="11"/>
      <c r="E158" s="11"/>
      <c r="F158" s="11"/>
      <c r="G158" s="6" t="str">
        <f t="shared" si="3"/>
        <v/>
      </c>
      <c r="H158" s="11"/>
      <c r="I158" s="6" t="str">
        <f t="shared" si="4"/>
        <v/>
      </c>
      <c r="J158" s="11"/>
      <c r="K158" s="6" t="str">
        <f t="shared" si="5"/>
        <v/>
      </c>
      <c r="L158" s="11"/>
      <c r="M158" s="6" t="str">
        <f t="shared" si="6"/>
        <v/>
      </c>
      <c r="N158" s="11"/>
      <c r="O158" s="6" t="str">
        <f t="shared" si="7"/>
        <v/>
      </c>
      <c r="P158" s="12"/>
      <c r="Q158" s="8" t="str">
        <f>IF(P158="","",P158*'Config  Metas'!$B$10)</f>
        <v/>
      </c>
      <c r="R158" s="4" t="str">
        <f>IF(COUNTA(D158,E158,F158,H158,J158,L158,N158,P158)=0,"",IF(AND(D158&gt;0,E158/D158&lt;'Config  Metas'!$B$8),"🚨 COBERTURA DE LLAMADOS BAJA",IF(G158&lt;'Config  Metas'!$B$2,"🚨 CONTACTO BAJO",IF(I158&lt;'Config  Metas'!$B$3,"🚨 AGENDAMIENTO BAJO",IF(K158&lt;'Config  Metas'!$B$4,"⚠️ SHOW BAJO",IF(M158&lt;'Config  Metas'!$B$5,"🚨 RESERVA BAJA",IF(O158&lt;'Config  Metas'!$B$6,"🚨 CIERRE BAJO",IF(P158&lt;D158*'Config  Metas'!$B$15*'Config  Metas'!$B$9,"🔻 UF BAJO RITMO DINÁMICO","✅ DÍA SOBRE RITMO"))))))))</f>
        <v/>
      </c>
      <c r="S158" s="10"/>
      <c r="T158" s="10"/>
      <c r="U158" s="2"/>
      <c r="V158" s="2"/>
      <c r="W158" s="2"/>
      <c r="X158" s="2"/>
      <c r="Y158" s="2"/>
      <c r="Z158" s="2"/>
    </row>
    <row r="159" ht="15.75" customHeight="1">
      <c r="A159" s="3">
        <v>46324.0</v>
      </c>
      <c r="B159" s="4" t="str">
        <f t="shared" si="1"/>
        <v>Sem 23</v>
      </c>
      <c r="C159" s="4" t="str">
        <f t="shared" si="2"/>
        <v>Jueves</v>
      </c>
      <c r="D159" s="11"/>
      <c r="E159" s="11"/>
      <c r="F159" s="11"/>
      <c r="G159" s="6" t="str">
        <f t="shared" si="3"/>
        <v/>
      </c>
      <c r="H159" s="11"/>
      <c r="I159" s="6" t="str">
        <f t="shared" si="4"/>
        <v/>
      </c>
      <c r="J159" s="11"/>
      <c r="K159" s="6" t="str">
        <f t="shared" si="5"/>
        <v/>
      </c>
      <c r="L159" s="11"/>
      <c r="M159" s="6" t="str">
        <f t="shared" si="6"/>
        <v/>
      </c>
      <c r="N159" s="11"/>
      <c r="O159" s="6" t="str">
        <f t="shared" si="7"/>
        <v/>
      </c>
      <c r="P159" s="12"/>
      <c r="Q159" s="8" t="str">
        <f>IF(P159="","",P159*'Config  Metas'!$B$10)</f>
        <v/>
      </c>
      <c r="R159" s="4" t="str">
        <f>IF(COUNTA(D159,E159,F159,H159,J159,L159,N159,P159)=0,"",IF(AND(D159&gt;0,E159/D159&lt;'Config  Metas'!$B$8),"🚨 COBERTURA DE LLAMADOS BAJA",IF(G159&lt;'Config  Metas'!$B$2,"🚨 CONTACTO BAJO",IF(I159&lt;'Config  Metas'!$B$3,"🚨 AGENDAMIENTO BAJO",IF(K159&lt;'Config  Metas'!$B$4,"⚠️ SHOW BAJO",IF(M159&lt;'Config  Metas'!$B$5,"🚨 RESERVA BAJA",IF(O159&lt;'Config  Metas'!$B$6,"🚨 CIERRE BAJO",IF(P159&lt;D159*'Config  Metas'!$B$15*'Config  Metas'!$B$9,"🔻 UF BAJO RITMO DINÁMICO","✅ DÍA SOBRE RITMO"))))))))</f>
        <v/>
      </c>
      <c r="S159" s="10"/>
      <c r="T159" s="10"/>
      <c r="U159" s="2"/>
      <c r="V159" s="2"/>
      <c r="W159" s="2"/>
      <c r="X159" s="2"/>
      <c r="Y159" s="2"/>
      <c r="Z159" s="2"/>
    </row>
    <row r="160" ht="15.75" customHeight="1">
      <c r="A160" s="3">
        <v>46325.0</v>
      </c>
      <c r="B160" s="4" t="str">
        <f t="shared" si="1"/>
        <v>Sem 23</v>
      </c>
      <c r="C160" s="4" t="str">
        <f t="shared" si="2"/>
        <v>Viernes</v>
      </c>
      <c r="D160" s="11"/>
      <c r="E160" s="11"/>
      <c r="F160" s="11"/>
      <c r="G160" s="6" t="str">
        <f t="shared" si="3"/>
        <v/>
      </c>
      <c r="H160" s="11"/>
      <c r="I160" s="6" t="str">
        <f t="shared" si="4"/>
        <v/>
      </c>
      <c r="J160" s="11"/>
      <c r="K160" s="6" t="str">
        <f t="shared" si="5"/>
        <v/>
      </c>
      <c r="L160" s="11"/>
      <c r="M160" s="6" t="str">
        <f t="shared" si="6"/>
        <v/>
      </c>
      <c r="N160" s="11"/>
      <c r="O160" s="6" t="str">
        <f t="shared" si="7"/>
        <v/>
      </c>
      <c r="P160" s="12"/>
      <c r="Q160" s="8" t="str">
        <f>IF(P160="","",P160*'Config  Metas'!$B$10)</f>
        <v/>
      </c>
      <c r="R160" s="4" t="str">
        <f>IF(COUNTA(D160,E160,F160,H160,J160,L160,N160,P160)=0,"",IF(AND(D160&gt;0,E160/D160&lt;'Config  Metas'!$B$8),"🚨 COBERTURA DE LLAMADOS BAJA",IF(G160&lt;'Config  Metas'!$B$2,"🚨 CONTACTO BAJO",IF(I160&lt;'Config  Metas'!$B$3,"🚨 AGENDAMIENTO BAJO",IF(K160&lt;'Config  Metas'!$B$4,"⚠️ SHOW BAJO",IF(M160&lt;'Config  Metas'!$B$5,"🚨 RESERVA BAJA",IF(O160&lt;'Config  Metas'!$B$6,"🚨 CIERRE BAJO",IF(P160&lt;D160*'Config  Metas'!$B$15*'Config  Metas'!$B$9,"🔻 UF BAJO RITMO DINÁMICO","✅ DÍA SOBRE RITMO"))))))))</f>
        <v/>
      </c>
      <c r="S160" s="10"/>
      <c r="T160" s="10"/>
      <c r="U160" s="2"/>
      <c r="V160" s="2"/>
      <c r="W160" s="2"/>
      <c r="X160" s="2"/>
      <c r="Y160" s="2"/>
      <c r="Z160" s="2"/>
    </row>
    <row r="161" ht="15.75" customHeight="1">
      <c r="A161" s="3">
        <v>46326.0</v>
      </c>
      <c r="B161" s="4" t="str">
        <f t="shared" si="1"/>
        <v>Sem 23</v>
      </c>
      <c r="C161" s="4" t="str">
        <f t="shared" si="2"/>
        <v>Sábado</v>
      </c>
      <c r="D161" s="11"/>
      <c r="E161" s="11"/>
      <c r="F161" s="11"/>
      <c r="G161" s="6" t="str">
        <f t="shared" si="3"/>
        <v/>
      </c>
      <c r="H161" s="11"/>
      <c r="I161" s="6" t="str">
        <f t="shared" si="4"/>
        <v/>
      </c>
      <c r="J161" s="11"/>
      <c r="K161" s="6" t="str">
        <f t="shared" si="5"/>
        <v/>
      </c>
      <c r="L161" s="11"/>
      <c r="M161" s="6" t="str">
        <f t="shared" si="6"/>
        <v/>
      </c>
      <c r="N161" s="11"/>
      <c r="O161" s="6" t="str">
        <f t="shared" si="7"/>
        <v/>
      </c>
      <c r="P161" s="12"/>
      <c r="Q161" s="8" t="str">
        <f>IF(P161="","",P161*'Config  Metas'!$B$10)</f>
        <v/>
      </c>
      <c r="R161" s="4" t="str">
        <f>IF(COUNTA(D161,E161,F161,H161,J161,L161,N161,P161)=0,"",IF(AND(D161&gt;0,E161/D161&lt;'Config  Metas'!$B$8),"🚨 COBERTURA DE LLAMADOS BAJA",IF(G161&lt;'Config  Metas'!$B$2,"🚨 CONTACTO BAJO",IF(I161&lt;'Config  Metas'!$B$3,"🚨 AGENDAMIENTO BAJO",IF(K161&lt;'Config  Metas'!$B$4,"⚠️ SHOW BAJO",IF(M161&lt;'Config  Metas'!$B$5,"🚨 RESERVA BAJA",IF(O161&lt;'Config  Metas'!$B$6,"🚨 CIERRE BAJO",IF(P161&lt;D161*'Config  Metas'!$B$15*'Config  Metas'!$B$9,"🔻 UF BAJO RITMO DINÁMICO","✅ DÍA SOBRE RITMO"))))))))</f>
        <v/>
      </c>
      <c r="S161" s="10"/>
      <c r="T161" s="10"/>
      <c r="U161" s="2"/>
      <c r="V161" s="2"/>
      <c r="W161" s="2"/>
      <c r="X161" s="2"/>
      <c r="Y161" s="2"/>
      <c r="Z161" s="2"/>
    </row>
    <row r="162" ht="15.75" customHeight="1">
      <c r="A162" s="3">
        <v>46327.0</v>
      </c>
      <c r="B162" s="4" t="str">
        <f t="shared" si="1"/>
        <v>Sem 23</v>
      </c>
      <c r="C162" s="4" t="str">
        <f t="shared" si="2"/>
        <v>Domingo</v>
      </c>
      <c r="D162" s="11"/>
      <c r="E162" s="11"/>
      <c r="F162" s="11"/>
      <c r="G162" s="6" t="str">
        <f t="shared" si="3"/>
        <v/>
      </c>
      <c r="H162" s="11"/>
      <c r="I162" s="6" t="str">
        <f t="shared" si="4"/>
        <v/>
      </c>
      <c r="J162" s="11"/>
      <c r="K162" s="6" t="str">
        <f t="shared" si="5"/>
        <v/>
      </c>
      <c r="L162" s="11"/>
      <c r="M162" s="6" t="str">
        <f t="shared" si="6"/>
        <v/>
      </c>
      <c r="N162" s="11"/>
      <c r="O162" s="6" t="str">
        <f t="shared" si="7"/>
        <v/>
      </c>
      <c r="P162" s="12"/>
      <c r="Q162" s="8" t="str">
        <f>IF(P162="","",P162*'Config  Metas'!$B$10)</f>
        <v/>
      </c>
      <c r="R162" s="4" t="str">
        <f>IF(COUNTA(D162,E162,F162,H162,J162,L162,N162,P162)=0,"",IF(AND(D162&gt;0,E162/D162&lt;'Config  Metas'!$B$8),"🚨 COBERTURA DE LLAMADOS BAJA",IF(G162&lt;'Config  Metas'!$B$2,"🚨 CONTACTO BAJO",IF(I162&lt;'Config  Metas'!$B$3,"🚨 AGENDAMIENTO BAJO",IF(K162&lt;'Config  Metas'!$B$4,"⚠️ SHOW BAJO",IF(M162&lt;'Config  Metas'!$B$5,"🚨 RESERVA BAJA",IF(O162&lt;'Config  Metas'!$B$6,"🚨 CIERRE BAJO",IF(P162&lt;D162*'Config  Metas'!$B$15*'Config  Metas'!$B$9,"🔻 UF BAJO RITMO DINÁMICO","✅ DÍA SOBRE RITMO"))))))))</f>
        <v/>
      </c>
      <c r="S162" s="10"/>
      <c r="T162" s="10"/>
      <c r="U162" s="2"/>
      <c r="V162" s="2"/>
      <c r="W162" s="2"/>
      <c r="X162" s="2"/>
      <c r="Y162" s="2"/>
      <c r="Z162" s="2"/>
    </row>
    <row r="163" ht="15.75" customHeight="1">
      <c r="A163" s="3">
        <v>46328.0</v>
      </c>
      <c r="B163" s="4" t="str">
        <f t="shared" si="1"/>
        <v>Sem 24</v>
      </c>
      <c r="C163" s="4" t="str">
        <f t="shared" si="2"/>
        <v>Lunes</v>
      </c>
      <c r="D163" s="11"/>
      <c r="E163" s="11"/>
      <c r="F163" s="11"/>
      <c r="G163" s="6" t="str">
        <f t="shared" si="3"/>
        <v/>
      </c>
      <c r="H163" s="11"/>
      <c r="I163" s="6" t="str">
        <f t="shared" si="4"/>
        <v/>
      </c>
      <c r="J163" s="11"/>
      <c r="K163" s="6" t="str">
        <f t="shared" si="5"/>
        <v/>
      </c>
      <c r="L163" s="11"/>
      <c r="M163" s="6" t="str">
        <f t="shared" si="6"/>
        <v/>
      </c>
      <c r="N163" s="11"/>
      <c r="O163" s="6" t="str">
        <f t="shared" si="7"/>
        <v/>
      </c>
      <c r="P163" s="12"/>
      <c r="Q163" s="8" t="str">
        <f>IF(P163="","",P163*'Config  Metas'!$B$10)</f>
        <v/>
      </c>
      <c r="R163" s="4" t="str">
        <f>IF(COUNTA(D163,E163,F163,H163,J163,L163,N163,P163)=0,"",IF(AND(D163&gt;0,E163/D163&lt;'Config  Metas'!$B$8),"🚨 COBERTURA DE LLAMADOS BAJA",IF(G163&lt;'Config  Metas'!$B$2,"🚨 CONTACTO BAJO",IF(I163&lt;'Config  Metas'!$B$3,"🚨 AGENDAMIENTO BAJO",IF(K163&lt;'Config  Metas'!$B$4,"⚠️ SHOW BAJO",IF(M163&lt;'Config  Metas'!$B$5,"🚨 RESERVA BAJA",IF(O163&lt;'Config  Metas'!$B$6,"🚨 CIERRE BAJO",IF(P163&lt;D163*'Config  Metas'!$B$15*'Config  Metas'!$B$9,"🔻 UF BAJO RITMO DINÁMICO","✅ DÍA SOBRE RITMO"))))))))</f>
        <v/>
      </c>
      <c r="S163" s="10"/>
      <c r="T163" s="10"/>
      <c r="U163" s="2"/>
      <c r="V163" s="2"/>
      <c r="W163" s="2"/>
      <c r="X163" s="2"/>
      <c r="Y163" s="2"/>
      <c r="Z163" s="2"/>
    </row>
    <row r="164" ht="15.75" customHeight="1">
      <c r="A164" s="3">
        <v>46329.0</v>
      </c>
      <c r="B164" s="4" t="str">
        <f t="shared" si="1"/>
        <v>Sem 24</v>
      </c>
      <c r="C164" s="4" t="str">
        <f t="shared" si="2"/>
        <v>Martes</v>
      </c>
      <c r="D164" s="11"/>
      <c r="E164" s="11"/>
      <c r="F164" s="11"/>
      <c r="G164" s="6" t="str">
        <f t="shared" si="3"/>
        <v/>
      </c>
      <c r="H164" s="11"/>
      <c r="I164" s="6" t="str">
        <f t="shared" si="4"/>
        <v/>
      </c>
      <c r="J164" s="11"/>
      <c r="K164" s="6" t="str">
        <f t="shared" si="5"/>
        <v/>
      </c>
      <c r="L164" s="11"/>
      <c r="M164" s="6" t="str">
        <f t="shared" si="6"/>
        <v/>
      </c>
      <c r="N164" s="11"/>
      <c r="O164" s="6" t="str">
        <f t="shared" si="7"/>
        <v/>
      </c>
      <c r="P164" s="12"/>
      <c r="Q164" s="8" t="str">
        <f>IF(P164="","",P164*'Config  Metas'!$B$10)</f>
        <v/>
      </c>
      <c r="R164" s="4" t="str">
        <f>IF(COUNTA(D164,E164,F164,H164,J164,L164,N164,P164)=0,"",IF(AND(D164&gt;0,E164/D164&lt;'Config  Metas'!$B$8),"🚨 COBERTURA DE LLAMADOS BAJA",IF(G164&lt;'Config  Metas'!$B$2,"🚨 CONTACTO BAJO",IF(I164&lt;'Config  Metas'!$B$3,"🚨 AGENDAMIENTO BAJO",IF(K164&lt;'Config  Metas'!$B$4,"⚠️ SHOW BAJO",IF(M164&lt;'Config  Metas'!$B$5,"🚨 RESERVA BAJA",IF(O164&lt;'Config  Metas'!$B$6,"🚨 CIERRE BAJO",IF(P164&lt;D164*'Config  Metas'!$B$15*'Config  Metas'!$B$9,"🔻 UF BAJO RITMO DINÁMICO","✅ DÍA SOBRE RITMO"))))))))</f>
        <v/>
      </c>
      <c r="S164" s="10"/>
      <c r="T164" s="10"/>
      <c r="U164" s="2"/>
      <c r="V164" s="2"/>
      <c r="W164" s="2"/>
      <c r="X164" s="2"/>
      <c r="Y164" s="2"/>
      <c r="Z164" s="2"/>
    </row>
    <row r="165" ht="15.75" customHeight="1">
      <c r="A165" s="3">
        <v>46330.0</v>
      </c>
      <c r="B165" s="4" t="str">
        <f t="shared" si="1"/>
        <v>Sem 24</v>
      </c>
      <c r="C165" s="4" t="str">
        <f t="shared" si="2"/>
        <v>Miércoles</v>
      </c>
      <c r="D165" s="11"/>
      <c r="E165" s="11"/>
      <c r="F165" s="11"/>
      <c r="G165" s="6" t="str">
        <f t="shared" si="3"/>
        <v/>
      </c>
      <c r="H165" s="11"/>
      <c r="I165" s="6" t="str">
        <f t="shared" si="4"/>
        <v/>
      </c>
      <c r="J165" s="11"/>
      <c r="K165" s="6" t="str">
        <f t="shared" si="5"/>
        <v/>
      </c>
      <c r="L165" s="11"/>
      <c r="M165" s="6" t="str">
        <f t="shared" si="6"/>
        <v/>
      </c>
      <c r="N165" s="11"/>
      <c r="O165" s="6" t="str">
        <f t="shared" si="7"/>
        <v/>
      </c>
      <c r="P165" s="12"/>
      <c r="Q165" s="8" t="str">
        <f>IF(P165="","",P165*'Config  Metas'!$B$10)</f>
        <v/>
      </c>
      <c r="R165" s="4" t="str">
        <f>IF(COUNTA(D165,E165,F165,H165,J165,L165,N165,P165)=0,"",IF(AND(D165&gt;0,E165/D165&lt;'Config  Metas'!$B$8),"🚨 COBERTURA DE LLAMADOS BAJA",IF(G165&lt;'Config  Metas'!$B$2,"🚨 CONTACTO BAJO",IF(I165&lt;'Config  Metas'!$B$3,"🚨 AGENDAMIENTO BAJO",IF(K165&lt;'Config  Metas'!$B$4,"⚠️ SHOW BAJO",IF(M165&lt;'Config  Metas'!$B$5,"🚨 RESERVA BAJA",IF(O165&lt;'Config  Metas'!$B$6,"🚨 CIERRE BAJO",IF(P165&lt;D165*'Config  Metas'!$B$15*'Config  Metas'!$B$9,"🔻 UF BAJO RITMO DINÁMICO","✅ DÍA SOBRE RITMO"))))))))</f>
        <v/>
      </c>
      <c r="S165" s="10"/>
      <c r="T165" s="10"/>
      <c r="U165" s="2"/>
      <c r="V165" s="2"/>
      <c r="W165" s="2"/>
      <c r="X165" s="2"/>
      <c r="Y165" s="2"/>
      <c r="Z165" s="2"/>
    </row>
    <row r="166" ht="15.75" customHeight="1">
      <c r="A166" s="3">
        <v>46331.0</v>
      </c>
      <c r="B166" s="4" t="str">
        <f t="shared" si="1"/>
        <v>Sem 24</v>
      </c>
      <c r="C166" s="4" t="str">
        <f t="shared" si="2"/>
        <v>Jueves</v>
      </c>
      <c r="D166" s="11"/>
      <c r="E166" s="11"/>
      <c r="F166" s="11"/>
      <c r="G166" s="6" t="str">
        <f t="shared" si="3"/>
        <v/>
      </c>
      <c r="H166" s="11"/>
      <c r="I166" s="6" t="str">
        <f t="shared" si="4"/>
        <v/>
      </c>
      <c r="J166" s="11"/>
      <c r="K166" s="6" t="str">
        <f t="shared" si="5"/>
        <v/>
      </c>
      <c r="L166" s="11"/>
      <c r="M166" s="6" t="str">
        <f t="shared" si="6"/>
        <v/>
      </c>
      <c r="N166" s="11"/>
      <c r="O166" s="6" t="str">
        <f t="shared" si="7"/>
        <v/>
      </c>
      <c r="P166" s="12"/>
      <c r="Q166" s="8" t="str">
        <f>IF(P166="","",P166*'Config  Metas'!$B$10)</f>
        <v/>
      </c>
      <c r="R166" s="4" t="str">
        <f>IF(COUNTA(D166,E166,F166,H166,J166,L166,N166,P166)=0,"",IF(AND(D166&gt;0,E166/D166&lt;'Config  Metas'!$B$8),"🚨 COBERTURA DE LLAMADOS BAJA",IF(G166&lt;'Config  Metas'!$B$2,"🚨 CONTACTO BAJO",IF(I166&lt;'Config  Metas'!$B$3,"🚨 AGENDAMIENTO BAJO",IF(K166&lt;'Config  Metas'!$B$4,"⚠️ SHOW BAJO",IF(M166&lt;'Config  Metas'!$B$5,"🚨 RESERVA BAJA",IF(O166&lt;'Config  Metas'!$B$6,"🚨 CIERRE BAJO",IF(P166&lt;D166*'Config  Metas'!$B$15*'Config  Metas'!$B$9,"🔻 UF BAJO RITMO DINÁMICO","✅ DÍA SOBRE RITMO"))))))))</f>
        <v/>
      </c>
      <c r="S166" s="10"/>
      <c r="T166" s="10"/>
      <c r="U166" s="2"/>
      <c r="V166" s="2"/>
      <c r="W166" s="2"/>
      <c r="X166" s="2"/>
      <c r="Y166" s="2"/>
      <c r="Z166" s="2"/>
    </row>
    <row r="167" ht="15.75" customHeight="1">
      <c r="A167" s="3">
        <v>46332.0</v>
      </c>
      <c r="B167" s="4" t="str">
        <f t="shared" si="1"/>
        <v>Sem 24</v>
      </c>
      <c r="C167" s="4" t="str">
        <f t="shared" si="2"/>
        <v>Viernes</v>
      </c>
      <c r="D167" s="11"/>
      <c r="E167" s="11"/>
      <c r="F167" s="11"/>
      <c r="G167" s="6" t="str">
        <f t="shared" si="3"/>
        <v/>
      </c>
      <c r="H167" s="11"/>
      <c r="I167" s="6" t="str">
        <f t="shared" si="4"/>
        <v/>
      </c>
      <c r="J167" s="11"/>
      <c r="K167" s="6" t="str">
        <f t="shared" si="5"/>
        <v/>
      </c>
      <c r="L167" s="11"/>
      <c r="M167" s="6" t="str">
        <f t="shared" si="6"/>
        <v/>
      </c>
      <c r="N167" s="11"/>
      <c r="O167" s="6" t="str">
        <f t="shared" si="7"/>
        <v/>
      </c>
      <c r="P167" s="12"/>
      <c r="Q167" s="8" t="str">
        <f>IF(P167="","",P167*'Config  Metas'!$B$10)</f>
        <v/>
      </c>
      <c r="R167" s="4" t="str">
        <f>IF(COUNTA(D167,E167,F167,H167,J167,L167,N167,P167)=0,"",IF(AND(D167&gt;0,E167/D167&lt;'Config  Metas'!$B$8),"🚨 COBERTURA DE LLAMADOS BAJA",IF(G167&lt;'Config  Metas'!$B$2,"🚨 CONTACTO BAJO",IF(I167&lt;'Config  Metas'!$B$3,"🚨 AGENDAMIENTO BAJO",IF(K167&lt;'Config  Metas'!$B$4,"⚠️ SHOW BAJO",IF(M167&lt;'Config  Metas'!$B$5,"🚨 RESERVA BAJA",IF(O167&lt;'Config  Metas'!$B$6,"🚨 CIERRE BAJO",IF(P167&lt;D167*'Config  Metas'!$B$15*'Config  Metas'!$B$9,"🔻 UF BAJO RITMO DINÁMICO","✅ DÍA SOBRE RITMO"))))))))</f>
        <v/>
      </c>
      <c r="S167" s="10"/>
      <c r="T167" s="10"/>
      <c r="U167" s="2"/>
      <c r="V167" s="2"/>
      <c r="W167" s="2"/>
      <c r="X167" s="2"/>
      <c r="Y167" s="2"/>
      <c r="Z167" s="2"/>
    </row>
    <row r="168" ht="15.75" customHeight="1">
      <c r="A168" s="3">
        <v>46333.0</v>
      </c>
      <c r="B168" s="4" t="str">
        <f t="shared" si="1"/>
        <v>Sem 24</v>
      </c>
      <c r="C168" s="4" t="str">
        <f t="shared" si="2"/>
        <v>Sábado</v>
      </c>
      <c r="D168" s="11"/>
      <c r="E168" s="11"/>
      <c r="F168" s="11"/>
      <c r="G168" s="6" t="str">
        <f t="shared" si="3"/>
        <v/>
      </c>
      <c r="H168" s="11"/>
      <c r="I168" s="6" t="str">
        <f t="shared" si="4"/>
        <v/>
      </c>
      <c r="J168" s="11"/>
      <c r="K168" s="6" t="str">
        <f t="shared" si="5"/>
        <v/>
      </c>
      <c r="L168" s="11"/>
      <c r="M168" s="6" t="str">
        <f t="shared" si="6"/>
        <v/>
      </c>
      <c r="N168" s="11"/>
      <c r="O168" s="6" t="str">
        <f t="shared" si="7"/>
        <v/>
      </c>
      <c r="P168" s="12"/>
      <c r="Q168" s="8" t="str">
        <f>IF(P168="","",P168*'Config  Metas'!$B$10)</f>
        <v/>
      </c>
      <c r="R168" s="4" t="str">
        <f>IF(COUNTA(D168,E168,F168,H168,J168,L168,N168,P168)=0,"",IF(AND(D168&gt;0,E168/D168&lt;'Config  Metas'!$B$8),"🚨 COBERTURA DE LLAMADOS BAJA",IF(G168&lt;'Config  Metas'!$B$2,"🚨 CONTACTO BAJO",IF(I168&lt;'Config  Metas'!$B$3,"🚨 AGENDAMIENTO BAJO",IF(K168&lt;'Config  Metas'!$B$4,"⚠️ SHOW BAJO",IF(M168&lt;'Config  Metas'!$B$5,"🚨 RESERVA BAJA",IF(O168&lt;'Config  Metas'!$B$6,"🚨 CIERRE BAJO",IF(P168&lt;D168*'Config  Metas'!$B$15*'Config  Metas'!$B$9,"🔻 UF BAJO RITMO DINÁMICO","✅ DÍA SOBRE RITMO"))))))))</f>
        <v/>
      </c>
      <c r="S168" s="10"/>
      <c r="T168" s="10"/>
      <c r="U168" s="2"/>
      <c r="V168" s="2"/>
      <c r="W168" s="2"/>
      <c r="X168" s="2"/>
      <c r="Y168" s="2"/>
      <c r="Z168" s="2"/>
    </row>
    <row r="169" ht="15.75" customHeight="1">
      <c r="A169" s="3">
        <v>46334.0</v>
      </c>
      <c r="B169" s="4" t="str">
        <f t="shared" si="1"/>
        <v>Sem 24</v>
      </c>
      <c r="C169" s="4" t="str">
        <f t="shared" si="2"/>
        <v>Domingo</v>
      </c>
      <c r="D169" s="11"/>
      <c r="E169" s="11"/>
      <c r="F169" s="11"/>
      <c r="G169" s="6" t="str">
        <f t="shared" si="3"/>
        <v/>
      </c>
      <c r="H169" s="11"/>
      <c r="I169" s="6" t="str">
        <f t="shared" si="4"/>
        <v/>
      </c>
      <c r="J169" s="11"/>
      <c r="K169" s="6" t="str">
        <f t="shared" si="5"/>
        <v/>
      </c>
      <c r="L169" s="11"/>
      <c r="M169" s="6" t="str">
        <f t="shared" si="6"/>
        <v/>
      </c>
      <c r="N169" s="11"/>
      <c r="O169" s="6" t="str">
        <f t="shared" si="7"/>
        <v/>
      </c>
      <c r="P169" s="12"/>
      <c r="Q169" s="8" t="str">
        <f>IF(P169="","",P169*'Config  Metas'!$B$10)</f>
        <v/>
      </c>
      <c r="R169" s="4" t="str">
        <f>IF(COUNTA(D169,E169,F169,H169,J169,L169,N169,P169)=0,"",IF(AND(D169&gt;0,E169/D169&lt;'Config  Metas'!$B$8),"🚨 COBERTURA DE LLAMADOS BAJA",IF(G169&lt;'Config  Metas'!$B$2,"🚨 CONTACTO BAJO",IF(I169&lt;'Config  Metas'!$B$3,"🚨 AGENDAMIENTO BAJO",IF(K169&lt;'Config  Metas'!$B$4,"⚠️ SHOW BAJO",IF(M169&lt;'Config  Metas'!$B$5,"🚨 RESERVA BAJA",IF(O169&lt;'Config  Metas'!$B$6,"🚨 CIERRE BAJO",IF(P169&lt;D169*'Config  Metas'!$B$15*'Config  Metas'!$B$9,"🔻 UF BAJO RITMO DINÁMICO","✅ DÍA SOBRE RITMO"))))))))</f>
        <v/>
      </c>
      <c r="S169" s="10"/>
      <c r="T169" s="10"/>
      <c r="U169" s="2"/>
      <c r="V169" s="2"/>
      <c r="W169" s="2"/>
      <c r="X169" s="2"/>
      <c r="Y169" s="2"/>
      <c r="Z169" s="2"/>
    </row>
    <row r="170" ht="15.75" customHeight="1">
      <c r="A170" s="3">
        <v>46335.0</v>
      </c>
      <c r="B170" s="4" t="str">
        <f t="shared" si="1"/>
        <v>Sem 25</v>
      </c>
      <c r="C170" s="4" t="str">
        <f t="shared" si="2"/>
        <v>Lunes</v>
      </c>
      <c r="D170" s="11"/>
      <c r="E170" s="11"/>
      <c r="F170" s="11"/>
      <c r="G170" s="6" t="str">
        <f t="shared" si="3"/>
        <v/>
      </c>
      <c r="H170" s="11"/>
      <c r="I170" s="6" t="str">
        <f t="shared" si="4"/>
        <v/>
      </c>
      <c r="J170" s="11"/>
      <c r="K170" s="6" t="str">
        <f t="shared" si="5"/>
        <v/>
      </c>
      <c r="L170" s="11"/>
      <c r="M170" s="6" t="str">
        <f t="shared" si="6"/>
        <v/>
      </c>
      <c r="N170" s="11"/>
      <c r="O170" s="6" t="str">
        <f t="shared" si="7"/>
        <v/>
      </c>
      <c r="P170" s="12"/>
      <c r="Q170" s="8" t="str">
        <f>IF(P170="","",P170*'Config  Metas'!$B$10)</f>
        <v/>
      </c>
      <c r="R170" s="4" t="str">
        <f>IF(COUNTA(D170,E170,F170,H170,J170,L170,N170,P170)=0,"",IF(AND(D170&gt;0,E170/D170&lt;'Config  Metas'!$B$8),"🚨 COBERTURA DE LLAMADOS BAJA",IF(G170&lt;'Config  Metas'!$B$2,"🚨 CONTACTO BAJO",IF(I170&lt;'Config  Metas'!$B$3,"🚨 AGENDAMIENTO BAJO",IF(K170&lt;'Config  Metas'!$B$4,"⚠️ SHOW BAJO",IF(M170&lt;'Config  Metas'!$B$5,"🚨 RESERVA BAJA",IF(O170&lt;'Config  Metas'!$B$6,"🚨 CIERRE BAJO",IF(P170&lt;D170*'Config  Metas'!$B$15*'Config  Metas'!$B$9,"🔻 UF BAJO RITMO DINÁMICO","✅ DÍA SOBRE RITMO"))))))))</f>
        <v/>
      </c>
      <c r="S170" s="10"/>
      <c r="T170" s="10"/>
      <c r="U170" s="2"/>
      <c r="V170" s="2"/>
      <c r="W170" s="2"/>
      <c r="X170" s="2"/>
      <c r="Y170" s="2"/>
      <c r="Z170" s="2"/>
    </row>
    <row r="171" ht="15.75" customHeight="1">
      <c r="A171" s="3">
        <v>46336.0</v>
      </c>
      <c r="B171" s="4" t="str">
        <f t="shared" si="1"/>
        <v>Sem 25</v>
      </c>
      <c r="C171" s="4" t="str">
        <f t="shared" si="2"/>
        <v>Martes</v>
      </c>
      <c r="D171" s="11"/>
      <c r="E171" s="11"/>
      <c r="F171" s="11"/>
      <c r="G171" s="6" t="str">
        <f t="shared" si="3"/>
        <v/>
      </c>
      <c r="H171" s="11"/>
      <c r="I171" s="6" t="str">
        <f t="shared" si="4"/>
        <v/>
      </c>
      <c r="J171" s="11"/>
      <c r="K171" s="6" t="str">
        <f t="shared" si="5"/>
        <v/>
      </c>
      <c r="L171" s="11"/>
      <c r="M171" s="6" t="str">
        <f t="shared" si="6"/>
        <v/>
      </c>
      <c r="N171" s="11"/>
      <c r="O171" s="6" t="str">
        <f t="shared" si="7"/>
        <v/>
      </c>
      <c r="P171" s="12"/>
      <c r="Q171" s="8" t="str">
        <f>IF(P171="","",P171*'Config  Metas'!$B$10)</f>
        <v/>
      </c>
      <c r="R171" s="4" t="str">
        <f>IF(COUNTA(D171,E171,F171,H171,J171,L171,N171,P171)=0,"",IF(AND(D171&gt;0,E171/D171&lt;'Config  Metas'!$B$8),"🚨 COBERTURA DE LLAMADOS BAJA",IF(G171&lt;'Config  Metas'!$B$2,"🚨 CONTACTO BAJO",IF(I171&lt;'Config  Metas'!$B$3,"🚨 AGENDAMIENTO BAJO",IF(K171&lt;'Config  Metas'!$B$4,"⚠️ SHOW BAJO",IF(M171&lt;'Config  Metas'!$B$5,"🚨 RESERVA BAJA",IF(O171&lt;'Config  Metas'!$B$6,"🚨 CIERRE BAJO",IF(P171&lt;D171*'Config  Metas'!$B$15*'Config  Metas'!$B$9,"🔻 UF BAJO RITMO DINÁMICO","✅ DÍA SOBRE RITMO"))))))))</f>
        <v/>
      </c>
      <c r="S171" s="10"/>
      <c r="T171" s="10"/>
      <c r="U171" s="2"/>
      <c r="V171" s="2"/>
      <c r="W171" s="2"/>
      <c r="X171" s="2"/>
      <c r="Y171" s="2"/>
      <c r="Z171" s="2"/>
    </row>
    <row r="172" ht="15.75" customHeight="1">
      <c r="A172" s="3">
        <v>46337.0</v>
      </c>
      <c r="B172" s="4" t="str">
        <f t="shared" si="1"/>
        <v>Sem 25</v>
      </c>
      <c r="C172" s="4" t="str">
        <f t="shared" si="2"/>
        <v>Miércoles</v>
      </c>
      <c r="D172" s="11"/>
      <c r="E172" s="11"/>
      <c r="F172" s="11"/>
      <c r="G172" s="6" t="str">
        <f t="shared" si="3"/>
        <v/>
      </c>
      <c r="H172" s="11"/>
      <c r="I172" s="6" t="str">
        <f t="shared" si="4"/>
        <v/>
      </c>
      <c r="J172" s="11"/>
      <c r="K172" s="6" t="str">
        <f t="shared" si="5"/>
        <v/>
      </c>
      <c r="L172" s="11"/>
      <c r="M172" s="6" t="str">
        <f t="shared" si="6"/>
        <v/>
      </c>
      <c r="N172" s="11"/>
      <c r="O172" s="6" t="str">
        <f t="shared" si="7"/>
        <v/>
      </c>
      <c r="P172" s="12"/>
      <c r="Q172" s="8" t="str">
        <f>IF(P172="","",P172*'Config  Metas'!$B$10)</f>
        <v/>
      </c>
      <c r="R172" s="4" t="str">
        <f>IF(COUNTA(D172,E172,F172,H172,J172,L172,N172,P172)=0,"",IF(AND(D172&gt;0,E172/D172&lt;'Config  Metas'!$B$8),"🚨 COBERTURA DE LLAMADOS BAJA",IF(G172&lt;'Config  Metas'!$B$2,"🚨 CONTACTO BAJO",IF(I172&lt;'Config  Metas'!$B$3,"🚨 AGENDAMIENTO BAJO",IF(K172&lt;'Config  Metas'!$B$4,"⚠️ SHOW BAJO",IF(M172&lt;'Config  Metas'!$B$5,"🚨 RESERVA BAJA",IF(O172&lt;'Config  Metas'!$B$6,"🚨 CIERRE BAJO",IF(P172&lt;D172*'Config  Metas'!$B$15*'Config  Metas'!$B$9,"🔻 UF BAJO RITMO DINÁMICO","✅ DÍA SOBRE RITMO"))))))))</f>
        <v/>
      </c>
      <c r="S172" s="10"/>
      <c r="T172" s="10"/>
      <c r="U172" s="2"/>
      <c r="V172" s="2"/>
      <c r="W172" s="2"/>
      <c r="X172" s="2"/>
      <c r="Y172" s="2"/>
      <c r="Z172" s="2"/>
    </row>
    <row r="173" ht="15.75" customHeight="1">
      <c r="A173" s="3">
        <v>46338.0</v>
      </c>
      <c r="B173" s="4" t="str">
        <f t="shared" si="1"/>
        <v>Sem 25</v>
      </c>
      <c r="C173" s="4" t="str">
        <f t="shared" si="2"/>
        <v>Jueves</v>
      </c>
      <c r="D173" s="11"/>
      <c r="E173" s="11"/>
      <c r="F173" s="11"/>
      <c r="G173" s="6" t="str">
        <f t="shared" si="3"/>
        <v/>
      </c>
      <c r="H173" s="11"/>
      <c r="I173" s="6" t="str">
        <f t="shared" si="4"/>
        <v/>
      </c>
      <c r="J173" s="11"/>
      <c r="K173" s="6" t="str">
        <f t="shared" si="5"/>
        <v/>
      </c>
      <c r="L173" s="11"/>
      <c r="M173" s="6" t="str">
        <f t="shared" si="6"/>
        <v/>
      </c>
      <c r="N173" s="11"/>
      <c r="O173" s="6" t="str">
        <f t="shared" si="7"/>
        <v/>
      </c>
      <c r="P173" s="12"/>
      <c r="Q173" s="8" t="str">
        <f>IF(P173="","",P173*'Config  Metas'!$B$10)</f>
        <v/>
      </c>
      <c r="R173" s="4" t="str">
        <f>IF(COUNTA(D173,E173,F173,H173,J173,L173,N173,P173)=0,"",IF(AND(D173&gt;0,E173/D173&lt;'Config  Metas'!$B$8),"🚨 COBERTURA DE LLAMADOS BAJA",IF(G173&lt;'Config  Metas'!$B$2,"🚨 CONTACTO BAJO",IF(I173&lt;'Config  Metas'!$B$3,"🚨 AGENDAMIENTO BAJO",IF(K173&lt;'Config  Metas'!$B$4,"⚠️ SHOW BAJO",IF(M173&lt;'Config  Metas'!$B$5,"🚨 RESERVA BAJA",IF(O173&lt;'Config  Metas'!$B$6,"🚨 CIERRE BAJO",IF(P173&lt;D173*'Config  Metas'!$B$15*'Config  Metas'!$B$9,"🔻 UF BAJO RITMO DINÁMICO","✅ DÍA SOBRE RITMO"))))))))</f>
        <v/>
      </c>
      <c r="S173" s="10"/>
      <c r="T173" s="10"/>
      <c r="U173" s="2"/>
      <c r="V173" s="2"/>
      <c r="W173" s="2"/>
      <c r="X173" s="2"/>
      <c r="Y173" s="2"/>
      <c r="Z173" s="2"/>
    </row>
    <row r="174" ht="15.75" customHeight="1">
      <c r="A174" s="3">
        <v>46339.0</v>
      </c>
      <c r="B174" s="4" t="str">
        <f t="shared" si="1"/>
        <v>Sem 25</v>
      </c>
      <c r="C174" s="4" t="str">
        <f t="shared" si="2"/>
        <v>Viernes</v>
      </c>
      <c r="D174" s="11"/>
      <c r="E174" s="11"/>
      <c r="F174" s="11"/>
      <c r="G174" s="6" t="str">
        <f t="shared" si="3"/>
        <v/>
      </c>
      <c r="H174" s="11"/>
      <c r="I174" s="6" t="str">
        <f t="shared" si="4"/>
        <v/>
      </c>
      <c r="J174" s="11"/>
      <c r="K174" s="6" t="str">
        <f t="shared" si="5"/>
        <v/>
      </c>
      <c r="L174" s="11"/>
      <c r="M174" s="6" t="str">
        <f t="shared" si="6"/>
        <v/>
      </c>
      <c r="N174" s="11"/>
      <c r="O174" s="6" t="str">
        <f t="shared" si="7"/>
        <v/>
      </c>
      <c r="P174" s="12"/>
      <c r="Q174" s="8" t="str">
        <f>IF(P174="","",P174*'Config  Metas'!$B$10)</f>
        <v/>
      </c>
      <c r="R174" s="4" t="str">
        <f>IF(COUNTA(D174,E174,F174,H174,J174,L174,N174,P174)=0,"",IF(AND(D174&gt;0,E174/D174&lt;'Config  Metas'!$B$8),"🚨 COBERTURA DE LLAMADOS BAJA",IF(G174&lt;'Config  Metas'!$B$2,"🚨 CONTACTO BAJO",IF(I174&lt;'Config  Metas'!$B$3,"🚨 AGENDAMIENTO BAJO",IF(K174&lt;'Config  Metas'!$B$4,"⚠️ SHOW BAJO",IF(M174&lt;'Config  Metas'!$B$5,"🚨 RESERVA BAJA",IF(O174&lt;'Config  Metas'!$B$6,"🚨 CIERRE BAJO",IF(P174&lt;D174*'Config  Metas'!$B$15*'Config  Metas'!$B$9,"🔻 UF BAJO RITMO DINÁMICO","✅ DÍA SOBRE RITMO"))))))))</f>
        <v/>
      </c>
      <c r="S174" s="10"/>
      <c r="T174" s="10"/>
      <c r="U174" s="2"/>
      <c r="V174" s="2"/>
      <c r="W174" s="2"/>
      <c r="X174" s="2"/>
      <c r="Y174" s="2"/>
      <c r="Z174" s="2"/>
    </row>
    <row r="175" ht="15.75" customHeight="1">
      <c r="A175" s="3">
        <v>46340.0</v>
      </c>
      <c r="B175" s="4" t="str">
        <f t="shared" si="1"/>
        <v>Sem 25</v>
      </c>
      <c r="C175" s="4" t="str">
        <f t="shared" si="2"/>
        <v>Sábado</v>
      </c>
      <c r="D175" s="11"/>
      <c r="E175" s="11"/>
      <c r="F175" s="11"/>
      <c r="G175" s="6" t="str">
        <f t="shared" si="3"/>
        <v/>
      </c>
      <c r="H175" s="11"/>
      <c r="I175" s="6" t="str">
        <f t="shared" si="4"/>
        <v/>
      </c>
      <c r="J175" s="11"/>
      <c r="K175" s="6" t="str">
        <f t="shared" si="5"/>
        <v/>
      </c>
      <c r="L175" s="11"/>
      <c r="M175" s="6" t="str">
        <f t="shared" si="6"/>
        <v/>
      </c>
      <c r="N175" s="11"/>
      <c r="O175" s="6" t="str">
        <f t="shared" si="7"/>
        <v/>
      </c>
      <c r="P175" s="12"/>
      <c r="Q175" s="8" t="str">
        <f>IF(P175="","",P175*'Config  Metas'!$B$10)</f>
        <v/>
      </c>
      <c r="R175" s="4" t="str">
        <f>IF(COUNTA(D175,E175,F175,H175,J175,L175,N175,P175)=0,"",IF(AND(D175&gt;0,E175/D175&lt;'Config  Metas'!$B$8),"🚨 COBERTURA DE LLAMADOS BAJA",IF(G175&lt;'Config  Metas'!$B$2,"🚨 CONTACTO BAJO",IF(I175&lt;'Config  Metas'!$B$3,"🚨 AGENDAMIENTO BAJO",IF(K175&lt;'Config  Metas'!$B$4,"⚠️ SHOW BAJO",IF(M175&lt;'Config  Metas'!$B$5,"🚨 RESERVA BAJA",IF(O175&lt;'Config  Metas'!$B$6,"🚨 CIERRE BAJO",IF(P175&lt;D175*'Config  Metas'!$B$15*'Config  Metas'!$B$9,"🔻 UF BAJO RITMO DINÁMICO","✅ DÍA SOBRE RITMO"))))))))</f>
        <v/>
      </c>
      <c r="S175" s="10"/>
      <c r="T175" s="10"/>
      <c r="U175" s="2"/>
      <c r="V175" s="2"/>
      <c r="W175" s="2"/>
      <c r="X175" s="2"/>
      <c r="Y175" s="2"/>
      <c r="Z175" s="2"/>
    </row>
    <row r="176" ht="15.75" customHeight="1">
      <c r="A176" s="3">
        <v>46341.0</v>
      </c>
      <c r="B176" s="4" t="str">
        <f t="shared" si="1"/>
        <v>Sem 25</v>
      </c>
      <c r="C176" s="4" t="str">
        <f t="shared" si="2"/>
        <v>Domingo</v>
      </c>
      <c r="D176" s="11"/>
      <c r="E176" s="11"/>
      <c r="F176" s="11"/>
      <c r="G176" s="6" t="str">
        <f t="shared" si="3"/>
        <v/>
      </c>
      <c r="H176" s="11"/>
      <c r="I176" s="6" t="str">
        <f t="shared" si="4"/>
        <v/>
      </c>
      <c r="J176" s="11"/>
      <c r="K176" s="6" t="str">
        <f t="shared" si="5"/>
        <v/>
      </c>
      <c r="L176" s="11"/>
      <c r="M176" s="6" t="str">
        <f t="shared" si="6"/>
        <v/>
      </c>
      <c r="N176" s="11"/>
      <c r="O176" s="6" t="str">
        <f t="shared" si="7"/>
        <v/>
      </c>
      <c r="P176" s="12"/>
      <c r="Q176" s="8" t="str">
        <f>IF(P176="","",P176*'Config  Metas'!$B$10)</f>
        <v/>
      </c>
      <c r="R176" s="4" t="str">
        <f>IF(COUNTA(D176,E176,F176,H176,J176,L176,N176,P176)=0,"",IF(AND(D176&gt;0,E176/D176&lt;'Config  Metas'!$B$8),"🚨 COBERTURA DE LLAMADOS BAJA",IF(G176&lt;'Config  Metas'!$B$2,"🚨 CONTACTO BAJO",IF(I176&lt;'Config  Metas'!$B$3,"🚨 AGENDAMIENTO BAJO",IF(K176&lt;'Config  Metas'!$B$4,"⚠️ SHOW BAJO",IF(M176&lt;'Config  Metas'!$B$5,"🚨 RESERVA BAJA",IF(O176&lt;'Config  Metas'!$B$6,"🚨 CIERRE BAJO",IF(P176&lt;D176*'Config  Metas'!$B$15*'Config  Metas'!$B$9,"🔻 UF BAJO RITMO DINÁMICO","✅ DÍA SOBRE RITMO"))))))))</f>
        <v/>
      </c>
      <c r="S176" s="10"/>
      <c r="T176" s="10"/>
      <c r="U176" s="2"/>
      <c r="V176" s="2"/>
      <c r="W176" s="2"/>
      <c r="X176" s="2"/>
      <c r="Y176" s="2"/>
      <c r="Z176" s="2"/>
    </row>
    <row r="177" ht="15.75" customHeight="1">
      <c r="A177" s="3">
        <v>46342.0</v>
      </c>
      <c r="B177" s="4" t="str">
        <f t="shared" si="1"/>
        <v>Sem 26</v>
      </c>
      <c r="C177" s="4" t="str">
        <f t="shared" si="2"/>
        <v>Lunes</v>
      </c>
      <c r="D177" s="11"/>
      <c r="E177" s="11"/>
      <c r="F177" s="11"/>
      <c r="G177" s="6" t="str">
        <f t="shared" si="3"/>
        <v/>
      </c>
      <c r="H177" s="11"/>
      <c r="I177" s="6" t="str">
        <f t="shared" si="4"/>
        <v/>
      </c>
      <c r="J177" s="11"/>
      <c r="K177" s="6" t="str">
        <f t="shared" si="5"/>
        <v/>
      </c>
      <c r="L177" s="11"/>
      <c r="M177" s="6" t="str">
        <f t="shared" si="6"/>
        <v/>
      </c>
      <c r="N177" s="11"/>
      <c r="O177" s="6" t="str">
        <f t="shared" si="7"/>
        <v/>
      </c>
      <c r="P177" s="12"/>
      <c r="Q177" s="8" t="str">
        <f>IF(P177="","",P177*'Config  Metas'!$B$10)</f>
        <v/>
      </c>
      <c r="R177" s="4" t="str">
        <f>IF(COUNTA(D177,E177,F177,H177,J177,L177,N177,P177)=0,"",IF(AND(D177&gt;0,E177/D177&lt;'Config  Metas'!$B$8),"🚨 COBERTURA DE LLAMADOS BAJA",IF(G177&lt;'Config  Metas'!$B$2,"🚨 CONTACTO BAJO",IF(I177&lt;'Config  Metas'!$B$3,"🚨 AGENDAMIENTO BAJO",IF(K177&lt;'Config  Metas'!$B$4,"⚠️ SHOW BAJO",IF(M177&lt;'Config  Metas'!$B$5,"🚨 RESERVA BAJA",IF(O177&lt;'Config  Metas'!$B$6,"🚨 CIERRE BAJO",IF(P177&lt;D177*'Config  Metas'!$B$15*'Config  Metas'!$B$9,"🔻 UF BAJO RITMO DINÁMICO","✅ DÍA SOBRE RITMO"))))))))</f>
        <v/>
      </c>
      <c r="S177" s="10"/>
      <c r="T177" s="10"/>
      <c r="U177" s="2"/>
      <c r="V177" s="2"/>
      <c r="W177" s="2"/>
      <c r="X177" s="2"/>
      <c r="Y177" s="2"/>
      <c r="Z177" s="2"/>
    </row>
    <row r="178" ht="15.75" customHeight="1">
      <c r="A178" s="3">
        <v>46343.0</v>
      </c>
      <c r="B178" s="4" t="str">
        <f t="shared" si="1"/>
        <v>Sem 26</v>
      </c>
      <c r="C178" s="4" t="str">
        <f t="shared" si="2"/>
        <v>Martes</v>
      </c>
      <c r="D178" s="11"/>
      <c r="E178" s="11"/>
      <c r="F178" s="11"/>
      <c r="G178" s="6" t="str">
        <f t="shared" si="3"/>
        <v/>
      </c>
      <c r="H178" s="11"/>
      <c r="I178" s="6" t="str">
        <f t="shared" si="4"/>
        <v/>
      </c>
      <c r="J178" s="11"/>
      <c r="K178" s="6" t="str">
        <f t="shared" si="5"/>
        <v/>
      </c>
      <c r="L178" s="11"/>
      <c r="M178" s="6" t="str">
        <f t="shared" si="6"/>
        <v/>
      </c>
      <c r="N178" s="11"/>
      <c r="O178" s="6" t="str">
        <f t="shared" si="7"/>
        <v/>
      </c>
      <c r="P178" s="12"/>
      <c r="Q178" s="8" t="str">
        <f>IF(P178="","",P178*'Config  Metas'!$B$10)</f>
        <v/>
      </c>
      <c r="R178" s="4" t="str">
        <f>IF(COUNTA(D178,E178,F178,H178,J178,L178,N178,P178)=0,"",IF(AND(D178&gt;0,E178/D178&lt;'Config  Metas'!$B$8),"🚨 COBERTURA DE LLAMADOS BAJA",IF(G178&lt;'Config  Metas'!$B$2,"🚨 CONTACTO BAJO",IF(I178&lt;'Config  Metas'!$B$3,"🚨 AGENDAMIENTO BAJO",IF(K178&lt;'Config  Metas'!$B$4,"⚠️ SHOW BAJO",IF(M178&lt;'Config  Metas'!$B$5,"🚨 RESERVA BAJA",IF(O178&lt;'Config  Metas'!$B$6,"🚨 CIERRE BAJO",IF(P178&lt;D178*'Config  Metas'!$B$15*'Config  Metas'!$B$9,"🔻 UF BAJO RITMO DINÁMICO","✅ DÍA SOBRE RITMO"))))))))</f>
        <v/>
      </c>
      <c r="S178" s="10"/>
      <c r="T178" s="10"/>
      <c r="U178" s="2"/>
      <c r="V178" s="2"/>
      <c r="W178" s="2"/>
      <c r="X178" s="2"/>
      <c r="Y178" s="2"/>
      <c r="Z178" s="2"/>
    </row>
    <row r="179" ht="15.75" customHeight="1">
      <c r="A179" s="3">
        <v>46344.0</v>
      </c>
      <c r="B179" s="4" t="str">
        <f t="shared" si="1"/>
        <v>Sem 26</v>
      </c>
      <c r="C179" s="4" t="str">
        <f t="shared" si="2"/>
        <v>Miércoles</v>
      </c>
      <c r="D179" s="11"/>
      <c r="E179" s="11"/>
      <c r="F179" s="11"/>
      <c r="G179" s="6" t="str">
        <f t="shared" si="3"/>
        <v/>
      </c>
      <c r="H179" s="11"/>
      <c r="I179" s="6" t="str">
        <f t="shared" si="4"/>
        <v/>
      </c>
      <c r="J179" s="11"/>
      <c r="K179" s="6" t="str">
        <f t="shared" si="5"/>
        <v/>
      </c>
      <c r="L179" s="11"/>
      <c r="M179" s="6" t="str">
        <f t="shared" si="6"/>
        <v/>
      </c>
      <c r="N179" s="11"/>
      <c r="O179" s="6" t="str">
        <f t="shared" si="7"/>
        <v/>
      </c>
      <c r="P179" s="12"/>
      <c r="Q179" s="8" t="str">
        <f>IF(P179="","",P179*'Config  Metas'!$B$10)</f>
        <v/>
      </c>
      <c r="R179" s="4" t="str">
        <f>IF(COUNTA(D179,E179,F179,H179,J179,L179,N179,P179)=0,"",IF(AND(D179&gt;0,E179/D179&lt;'Config  Metas'!$B$8),"🚨 COBERTURA DE LLAMADOS BAJA",IF(G179&lt;'Config  Metas'!$B$2,"🚨 CONTACTO BAJO",IF(I179&lt;'Config  Metas'!$B$3,"🚨 AGENDAMIENTO BAJO",IF(K179&lt;'Config  Metas'!$B$4,"⚠️ SHOW BAJO",IF(M179&lt;'Config  Metas'!$B$5,"🚨 RESERVA BAJA",IF(O179&lt;'Config  Metas'!$B$6,"🚨 CIERRE BAJO",IF(P179&lt;D179*'Config  Metas'!$B$15*'Config  Metas'!$B$9,"🔻 UF BAJO RITMO DINÁMICO","✅ DÍA SOBRE RITMO"))))))))</f>
        <v/>
      </c>
      <c r="S179" s="10"/>
      <c r="T179" s="10"/>
      <c r="U179" s="2"/>
      <c r="V179" s="2"/>
      <c r="W179" s="2"/>
      <c r="X179" s="2"/>
      <c r="Y179" s="2"/>
      <c r="Z179" s="2"/>
    </row>
    <row r="180" ht="15.75" customHeight="1">
      <c r="A180" s="3">
        <v>46345.0</v>
      </c>
      <c r="B180" s="4" t="str">
        <f t="shared" si="1"/>
        <v>Sem 26</v>
      </c>
      <c r="C180" s="4" t="str">
        <f t="shared" si="2"/>
        <v>Jueves</v>
      </c>
      <c r="D180" s="11"/>
      <c r="E180" s="11"/>
      <c r="F180" s="11"/>
      <c r="G180" s="6" t="str">
        <f t="shared" si="3"/>
        <v/>
      </c>
      <c r="H180" s="11"/>
      <c r="I180" s="6" t="str">
        <f t="shared" si="4"/>
        <v/>
      </c>
      <c r="J180" s="11"/>
      <c r="K180" s="6" t="str">
        <f t="shared" si="5"/>
        <v/>
      </c>
      <c r="L180" s="11"/>
      <c r="M180" s="6" t="str">
        <f t="shared" si="6"/>
        <v/>
      </c>
      <c r="N180" s="11"/>
      <c r="O180" s="6" t="str">
        <f t="shared" si="7"/>
        <v/>
      </c>
      <c r="P180" s="12"/>
      <c r="Q180" s="8" t="str">
        <f>IF(P180="","",P180*'Config  Metas'!$B$10)</f>
        <v/>
      </c>
      <c r="R180" s="4" t="str">
        <f>IF(COUNTA(D180,E180,F180,H180,J180,L180,N180,P180)=0,"",IF(AND(D180&gt;0,E180/D180&lt;'Config  Metas'!$B$8),"🚨 COBERTURA DE LLAMADOS BAJA",IF(G180&lt;'Config  Metas'!$B$2,"🚨 CONTACTO BAJO",IF(I180&lt;'Config  Metas'!$B$3,"🚨 AGENDAMIENTO BAJO",IF(K180&lt;'Config  Metas'!$B$4,"⚠️ SHOW BAJO",IF(M180&lt;'Config  Metas'!$B$5,"🚨 RESERVA BAJA",IF(O180&lt;'Config  Metas'!$B$6,"🚨 CIERRE BAJO",IF(P180&lt;D180*'Config  Metas'!$B$15*'Config  Metas'!$B$9,"🔻 UF BAJO RITMO DINÁMICO","✅ DÍA SOBRE RITMO"))))))))</f>
        <v/>
      </c>
      <c r="S180" s="10"/>
      <c r="T180" s="10"/>
      <c r="U180" s="2"/>
      <c r="V180" s="2"/>
      <c r="W180" s="2"/>
      <c r="X180" s="2"/>
      <c r="Y180" s="2"/>
      <c r="Z180" s="2"/>
    </row>
    <row r="181" ht="15.75" customHeight="1">
      <c r="A181" s="3">
        <v>46346.0</v>
      </c>
      <c r="B181" s="4" t="str">
        <f t="shared" si="1"/>
        <v>Sem 26</v>
      </c>
      <c r="C181" s="4" t="str">
        <f t="shared" si="2"/>
        <v>Viernes</v>
      </c>
      <c r="D181" s="11"/>
      <c r="E181" s="11"/>
      <c r="F181" s="11"/>
      <c r="G181" s="6" t="str">
        <f t="shared" si="3"/>
        <v/>
      </c>
      <c r="H181" s="11"/>
      <c r="I181" s="6" t="str">
        <f t="shared" si="4"/>
        <v/>
      </c>
      <c r="J181" s="11"/>
      <c r="K181" s="6" t="str">
        <f t="shared" si="5"/>
        <v/>
      </c>
      <c r="L181" s="11"/>
      <c r="M181" s="6" t="str">
        <f t="shared" si="6"/>
        <v/>
      </c>
      <c r="N181" s="11"/>
      <c r="O181" s="6" t="str">
        <f t="shared" si="7"/>
        <v/>
      </c>
      <c r="P181" s="12"/>
      <c r="Q181" s="8" t="str">
        <f>IF(P181="","",P181*'Config  Metas'!$B$10)</f>
        <v/>
      </c>
      <c r="R181" s="4" t="str">
        <f>IF(COUNTA(D181,E181,F181,H181,J181,L181,N181,P181)=0,"",IF(AND(D181&gt;0,E181/D181&lt;'Config  Metas'!$B$8),"🚨 COBERTURA DE LLAMADOS BAJA",IF(G181&lt;'Config  Metas'!$B$2,"🚨 CONTACTO BAJO",IF(I181&lt;'Config  Metas'!$B$3,"🚨 AGENDAMIENTO BAJO",IF(K181&lt;'Config  Metas'!$B$4,"⚠️ SHOW BAJO",IF(M181&lt;'Config  Metas'!$B$5,"🚨 RESERVA BAJA",IF(O181&lt;'Config  Metas'!$B$6,"🚨 CIERRE BAJO",IF(P181&lt;D181*'Config  Metas'!$B$15*'Config  Metas'!$B$9,"🔻 UF BAJO RITMO DINÁMICO","✅ DÍA SOBRE RITMO"))))))))</f>
        <v/>
      </c>
      <c r="S181" s="10"/>
      <c r="T181" s="10"/>
      <c r="U181" s="2"/>
      <c r="V181" s="2"/>
      <c r="W181" s="2"/>
      <c r="X181" s="2"/>
      <c r="Y181" s="2"/>
      <c r="Z181" s="2"/>
    </row>
    <row r="182" ht="15.75" customHeight="1">
      <c r="A182" s="3">
        <v>46347.0</v>
      </c>
      <c r="B182" s="4" t="str">
        <f t="shared" si="1"/>
        <v>Sem 26</v>
      </c>
      <c r="C182" s="4" t="str">
        <f t="shared" si="2"/>
        <v>Sábado</v>
      </c>
      <c r="D182" s="11"/>
      <c r="E182" s="11"/>
      <c r="F182" s="11"/>
      <c r="G182" s="6" t="str">
        <f t="shared" si="3"/>
        <v/>
      </c>
      <c r="H182" s="11"/>
      <c r="I182" s="6" t="str">
        <f t="shared" si="4"/>
        <v/>
      </c>
      <c r="J182" s="11"/>
      <c r="K182" s="6" t="str">
        <f t="shared" si="5"/>
        <v/>
      </c>
      <c r="L182" s="11"/>
      <c r="M182" s="6" t="str">
        <f t="shared" si="6"/>
        <v/>
      </c>
      <c r="N182" s="11"/>
      <c r="O182" s="6" t="str">
        <f t="shared" si="7"/>
        <v/>
      </c>
      <c r="P182" s="12"/>
      <c r="Q182" s="8" t="str">
        <f>IF(P182="","",P182*'Config  Metas'!$B$10)</f>
        <v/>
      </c>
      <c r="R182" s="4" t="str">
        <f>IF(COUNTA(D182,E182,F182,H182,J182,L182,N182,P182)=0,"",IF(AND(D182&gt;0,E182/D182&lt;'Config  Metas'!$B$8),"🚨 COBERTURA DE LLAMADOS BAJA",IF(G182&lt;'Config  Metas'!$B$2,"🚨 CONTACTO BAJO",IF(I182&lt;'Config  Metas'!$B$3,"🚨 AGENDAMIENTO BAJO",IF(K182&lt;'Config  Metas'!$B$4,"⚠️ SHOW BAJO",IF(M182&lt;'Config  Metas'!$B$5,"🚨 RESERVA BAJA",IF(O182&lt;'Config  Metas'!$B$6,"🚨 CIERRE BAJO",IF(P182&lt;D182*'Config  Metas'!$B$15*'Config  Metas'!$B$9,"🔻 UF BAJO RITMO DINÁMICO","✅ DÍA SOBRE RITMO"))))))))</f>
        <v/>
      </c>
      <c r="S182" s="10"/>
      <c r="T182" s="10"/>
      <c r="U182" s="2"/>
      <c r="V182" s="2"/>
      <c r="W182" s="2"/>
      <c r="X182" s="2"/>
      <c r="Y182" s="2"/>
      <c r="Z182" s="2"/>
    </row>
    <row r="183" ht="15.75" customHeight="1">
      <c r="A183" s="3">
        <v>46348.0</v>
      </c>
      <c r="B183" s="4" t="str">
        <f t="shared" si="1"/>
        <v>Sem 26</v>
      </c>
      <c r="C183" s="4" t="str">
        <f t="shared" si="2"/>
        <v>Domingo</v>
      </c>
      <c r="D183" s="11"/>
      <c r="E183" s="11"/>
      <c r="F183" s="11"/>
      <c r="G183" s="6" t="str">
        <f t="shared" si="3"/>
        <v/>
      </c>
      <c r="H183" s="11"/>
      <c r="I183" s="6" t="str">
        <f t="shared" si="4"/>
        <v/>
      </c>
      <c r="J183" s="11"/>
      <c r="K183" s="6" t="str">
        <f t="shared" si="5"/>
        <v/>
      </c>
      <c r="L183" s="11"/>
      <c r="M183" s="6" t="str">
        <f t="shared" si="6"/>
        <v/>
      </c>
      <c r="N183" s="11"/>
      <c r="O183" s="6" t="str">
        <f t="shared" si="7"/>
        <v/>
      </c>
      <c r="P183" s="12"/>
      <c r="Q183" s="8" t="str">
        <f>IF(P183="","",P183*'Config  Metas'!$B$10)</f>
        <v/>
      </c>
      <c r="R183" s="4" t="str">
        <f>IF(COUNTA(D183,E183,F183,H183,J183,L183,N183,P183)=0,"",IF(AND(D183&gt;0,E183/D183&lt;'Config  Metas'!$B$8),"🚨 COBERTURA DE LLAMADOS BAJA",IF(G183&lt;'Config  Metas'!$B$2,"🚨 CONTACTO BAJO",IF(I183&lt;'Config  Metas'!$B$3,"🚨 AGENDAMIENTO BAJO",IF(K183&lt;'Config  Metas'!$B$4,"⚠️ SHOW BAJO",IF(M183&lt;'Config  Metas'!$B$5,"🚨 RESERVA BAJA",IF(O183&lt;'Config  Metas'!$B$6,"🚨 CIERRE BAJO",IF(P183&lt;D183*'Config  Metas'!$B$15*'Config  Metas'!$B$9,"🔻 UF BAJO RITMO DINÁMICO","✅ DÍA SOBRE RITMO"))))))))</f>
        <v/>
      </c>
      <c r="S183" s="10"/>
      <c r="T183" s="10"/>
      <c r="U183" s="2"/>
      <c r="V183" s="2"/>
      <c r="W183" s="2"/>
      <c r="X183" s="2"/>
      <c r="Y183" s="2"/>
      <c r="Z183" s="2"/>
    </row>
    <row r="184" ht="15.75" customHeight="1">
      <c r="A184" s="3">
        <v>46349.0</v>
      </c>
      <c r="B184" s="4" t="str">
        <f t="shared" si="1"/>
        <v>Sem 27</v>
      </c>
      <c r="C184" s="4" t="str">
        <f t="shared" si="2"/>
        <v>Lunes</v>
      </c>
      <c r="D184" s="11"/>
      <c r="E184" s="11"/>
      <c r="F184" s="11"/>
      <c r="G184" s="6" t="str">
        <f t="shared" si="3"/>
        <v/>
      </c>
      <c r="H184" s="11"/>
      <c r="I184" s="6" t="str">
        <f t="shared" si="4"/>
        <v/>
      </c>
      <c r="J184" s="11"/>
      <c r="K184" s="6" t="str">
        <f t="shared" si="5"/>
        <v/>
      </c>
      <c r="L184" s="11"/>
      <c r="M184" s="6" t="str">
        <f t="shared" si="6"/>
        <v/>
      </c>
      <c r="N184" s="11"/>
      <c r="O184" s="6" t="str">
        <f t="shared" si="7"/>
        <v/>
      </c>
      <c r="P184" s="12"/>
      <c r="Q184" s="8" t="str">
        <f>IF(P184="","",P184*'Config  Metas'!$B$10)</f>
        <v/>
      </c>
      <c r="R184" s="4" t="str">
        <f>IF(COUNTA(D184,E184,F184,H184,J184,L184,N184,P184)=0,"",IF(AND(D184&gt;0,E184/D184&lt;'Config  Metas'!$B$8),"🚨 COBERTURA DE LLAMADOS BAJA",IF(G184&lt;'Config  Metas'!$B$2,"🚨 CONTACTO BAJO",IF(I184&lt;'Config  Metas'!$B$3,"🚨 AGENDAMIENTO BAJO",IF(K184&lt;'Config  Metas'!$B$4,"⚠️ SHOW BAJO",IF(M184&lt;'Config  Metas'!$B$5,"🚨 RESERVA BAJA",IF(O184&lt;'Config  Metas'!$B$6,"🚨 CIERRE BAJO",IF(P184&lt;D184*'Config  Metas'!$B$15*'Config  Metas'!$B$9,"🔻 UF BAJO RITMO DINÁMICO","✅ DÍA SOBRE RITMO"))))))))</f>
        <v/>
      </c>
      <c r="S184" s="10"/>
      <c r="T184" s="10"/>
      <c r="U184" s="2"/>
      <c r="V184" s="2"/>
      <c r="W184" s="2"/>
      <c r="X184" s="2"/>
      <c r="Y184" s="2"/>
      <c r="Z184" s="2"/>
    </row>
    <row r="185" ht="15.75" customHeight="1">
      <c r="A185" s="3">
        <v>46350.0</v>
      </c>
      <c r="B185" s="4" t="str">
        <f t="shared" si="1"/>
        <v>Sem 27</v>
      </c>
      <c r="C185" s="4" t="str">
        <f t="shared" si="2"/>
        <v>Martes</v>
      </c>
      <c r="D185" s="11"/>
      <c r="E185" s="11"/>
      <c r="F185" s="11"/>
      <c r="G185" s="6" t="str">
        <f t="shared" si="3"/>
        <v/>
      </c>
      <c r="H185" s="11"/>
      <c r="I185" s="6" t="str">
        <f t="shared" si="4"/>
        <v/>
      </c>
      <c r="J185" s="11"/>
      <c r="K185" s="6" t="str">
        <f t="shared" si="5"/>
        <v/>
      </c>
      <c r="L185" s="11"/>
      <c r="M185" s="6" t="str">
        <f t="shared" si="6"/>
        <v/>
      </c>
      <c r="N185" s="11"/>
      <c r="O185" s="6" t="str">
        <f t="shared" si="7"/>
        <v/>
      </c>
      <c r="P185" s="12"/>
      <c r="Q185" s="8" t="str">
        <f>IF(P185="","",P185*'Config  Metas'!$B$10)</f>
        <v/>
      </c>
      <c r="R185" s="4" t="str">
        <f>IF(COUNTA(D185,E185,F185,H185,J185,L185,N185,P185)=0,"",IF(AND(D185&gt;0,E185/D185&lt;'Config  Metas'!$B$8),"🚨 COBERTURA DE LLAMADOS BAJA",IF(G185&lt;'Config  Metas'!$B$2,"🚨 CONTACTO BAJO",IF(I185&lt;'Config  Metas'!$B$3,"🚨 AGENDAMIENTO BAJO",IF(K185&lt;'Config  Metas'!$B$4,"⚠️ SHOW BAJO",IF(M185&lt;'Config  Metas'!$B$5,"🚨 RESERVA BAJA",IF(O185&lt;'Config  Metas'!$B$6,"🚨 CIERRE BAJO",IF(P185&lt;D185*'Config  Metas'!$B$15*'Config  Metas'!$B$9,"🔻 UF BAJO RITMO DINÁMICO","✅ DÍA SOBRE RITMO"))))))))</f>
        <v/>
      </c>
      <c r="S185" s="10"/>
      <c r="T185" s="10"/>
      <c r="U185" s="2"/>
      <c r="V185" s="2"/>
      <c r="W185" s="2"/>
      <c r="X185" s="2"/>
      <c r="Y185" s="2"/>
      <c r="Z185" s="2"/>
    </row>
    <row r="186" ht="15.75" customHeight="1">
      <c r="A186" s="3">
        <v>46351.0</v>
      </c>
      <c r="B186" s="4" t="str">
        <f t="shared" si="1"/>
        <v>Sem 27</v>
      </c>
      <c r="C186" s="4" t="str">
        <f t="shared" si="2"/>
        <v>Miércoles</v>
      </c>
      <c r="D186" s="11"/>
      <c r="E186" s="11"/>
      <c r="F186" s="11"/>
      <c r="G186" s="6" t="str">
        <f t="shared" si="3"/>
        <v/>
      </c>
      <c r="H186" s="11"/>
      <c r="I186" s="6" t="str">
        <f t="shared" si="4"/>
        <v/>
      </c>
      <c r="J186" s="11"/>
      <c r="K186" s="6" t="str">
        <f t="shared" si="5"/>
        <v/>
      </c>
      <c r="L186" s="11"/>
      <c r="M186" s="6" t="str">
        <f t="shared" si="6"/>
        <v/>
      </c>
      <c r="N186" s="11"/>
      <c r="O186" s="6" t="str">
        <f t="shared" si="7"/>
        <v/>
      </c>
      <c r="P186" s="12"/>
      <c r="Q186" s="8" t="str">
        <f>IF(P186="","",P186*'Config  Metas'!$B$10)</f>
        <v/>
      </c>
      <c r="R186" s="4" t="str">
        <f>IF(COUNTA(D186,E186,F186,H186,J186,L186,N186,P186)=0,"",IF(AND(D186&gt;0,E186/D186&lt;'Config  Metas'!$B$8),"🚨 COBERTURA DE LLAMADOS BAJA",IF(G186&lt;'Config  Metas'!$B$2,"🚨 CONTACTO BAJO",IF(I186&lt;'Config  Metas'!$B$3,"🚨 AGENDAMIENTO BAJO",IF(K186&lt;'Config  Metas'!$B$4,"⚠️ SHOW BAJO",IF(M186&lt;'Config  Metas'!$B$5,"🚨 RESERVA BAJA",IF(O186&lt;'Config  Metas'!$B$6,"🚨 CIERRE BAJO",IF(P186&lt;D186*'Config  Metas'!$B$15*'Config  Metas'!$B$9,"🔻 UF BAJO RITMO DINÁMICO","✅ DÍA SOBRE RITMO"))))))))</f>
        <v/>
      </c>
      <c r="S186" s="10"/>
      <c r="T186" s="10"/>
      <c r="U186" s="2"/>
      <c r="V186" s="2"/>
      <c r="W186" s="2"/>
      <c r="X186" s="2"/>
      <c r="Y186" s="2"/>
      <c r="Z186" s="2"/>
    </row>
    <row r="187" ht="15.75" customHeight="1">
      <c r="A187" s="3">
        <v>46352.0</v>
      </c>
      <c r="B187" s="4" t="str">
        <f t="shared" si="1"/>
        <v>Sem 27</v>
      </c>
      <c r="C187" s="4" t="str">
        <f t="shared" si="2"/>
        <v>Jueves</v>
      </c>
      <c r="D187" s="11"/>
      <c r="E187" s="11"/>
      <c r="F187" s="11"/>
      <c r="G187" s="6" t="str">
        <f t="shared" si="3"/>
        <v/>
      </c>
      <c r="H187" s="11"/>
      <c r="I187" s="6" t="str">
        <f t="shared" si="4"/>
        <v/>
      </c>
      <c r="J187" s="11"/>
      <c r="K187" s="6" t="str">
        <f t="shared" si="5"/>
        <v/>
      </c>
      <c r="L187" s="11"/>
      <c r="M187" s="6" t="str">
        <f t="shared" si="6"/>
        <v/>
      </c>
      <c r="N187" s="11"/>
      <c r="O187" s="6" t="str">
        <f t="shared" si="7"/>
        <v/>
      </c>
      <c r="P187" s="12"/>
      <c r="Q187" s="8" t="str">
        <f>IF(P187="","",P187*'Config  Metas'!$B$10)</f>
        <v/>
      </c>
      <c r="R187" s="4" t="str">
        <f>IF(COUNTA(D187,E187,F187,H187,J187,L187,N187,P187)=0,"",IF(AND(D187&gt;0,E187/D187&lt;'Config  Metas'!$B$8),"🚨 COBERTURA DE LLAMADOS BAJA",IF(G187&lt;'Config  Metas'!$B$2,"🚨 CONTACTO BAJO",IF(I187&lt;'Config  Metas'!$B$3,"🚨 AGENDAMIENTO BAJO",IF(K187&lt;'Config  Metas'!$B$4,"⚠️ SHOW BAJO",IF(M187&lt;'Config  Metas'!$B$5,"🚨 RESERVA BAJA",IF(O187&lt;'Config  Metas'!$B$6,"🚨 CIERRE BAJO",IF(P187&lt;D187*'Config  Metas'!$B$15*'Config  Metas'!$B$9,"🔻 UF BAJO RITMO DINÁMICO","✅ DÍA SOBRE RITMO"))))))))</f>
        <v/>
      </c>
      <c r="S187" s="10"/>
      <c r="T187" s="10"/>
      <c r="U187" s="2"/>
      <c r="V187" s="2"/>
      <c r="W187" s="2"/>
      <c r="X187" s="2"/>
      <c r="Y187" s="2"/>
      <c r="Z187" s="2"/>
    </row>
    <row r="188" ht="15.75" customHeight="1">
      <c r="A188" s="3">
        <v>46353.0</v>
      </c>
      <c r="B188" s="4" t="str">
        <f t="shared" si="1"/>
        <v>Sem 27</v>
      </c>
      <c r="C188" s="4" t="str">
        <f t="shared" si="2"/>
        <v>Viernes</v>
      </c>
      <c r="D188" s="11"/>
      <c r="E188" s="11"/>
      <c r="F188" s="11"/>
      <c r="G188" s="6" t="str">
        <f t="shared" si="3"/>
        <v/>
      </c>
      <c r="H188" s="11"/>
      <c r="I188" s="6" t="str">
        <f t="shared" si="4"/>
        <v/>
      </c>
      <c r="J188" s="11"/>
      <c r="K188" s="6" t="str">
        <f t="shared" si="5"/>
        <v/>
      </c>
      <c r="L188" s="11"/>
      <c r="M188" s="6" t="str">
        <f t="shared" si="6"/>
        <v/>
      </c>
      <c r="N188" s="11"/>
      <c r="O188" s="6" t="str">
        <f t="shared" si="7"/>
        <v/>
      </c>
      <c r="P188" s="12"/>
      <c r="Q188" s="8" t="str">
        <f>IF(P188="","",P188*'Config  Metas'!$B$10)</f>
        <v/>
      </c>
      <c r="R188" s="4" t="str">
        <f>IF(COUNTA(D188,E188,F188,H188,J188,L188,N188,P188)=0,"",IF(AND(D188&gt;0,E188/D188&lt;'Config  Metas'!$B$8),"🚨 COBERTURA DE LLAMADOS BAJA",IF(G188&lt;'Config  Metas'!$B$2,"🚨 CONTACTO BAJO",IF(I188&lt;'Config  Metas'!$B$3,"🚨 AGENDAMIENTO BAJO",IF(K188&lt;'Config  Metas'!$B$4,"⚠️ SHOW BAJO",IF(M188&lt;'Config  Metas'!$B$5,"🚨 RESERVA BAJA",IF(O188&lt;'Config  Metas'!$B$6,"🚨 CIERRE BAJO",IF(P188&lt;D188*'Config  Metas'!$B$15*'Config  Metas'!$B$9,"🔻 UF BAJO RITMO DINÁMICO","✅ DÍA SOBRE RITMO"))))))))</f>
        <v/>
      </c>
      <c r="S188" s="10"/>
      <c r="T188" s="10"/>
      <c r="U188" s="2"/>
      <c r="V188" s="2"/>
      <c r="W188" s="2"/>
      <c r="X188" s="2"/>
      <c r="Y188" s="2"/>
      <c r="Z188" s="2"/>
    </row>
    <row r="189" ht="15.75" customHeight="1">
      <c r="A189" s="3">
        <v>46354.0</v>
      </c>
      <c r="B189" s="4" t="str">
        <f t="shared" si="1"/>
        <v>Sem 27</v>
      </c>
      <c r="C189" s="4" t="str">
        <f t="shared" si="2"/>
        <v>Sábado</v>
      </c>
      <c r="D189" s="11"/>
      <c r="E189" s="11"/>
      <c r="F189" s="11"/>
      <c r="G189" s="6" t="str">
        <f t="shared" si="3"/>
        <v/>
      </c>
      <c r="H189" s="11"/>
      <c r="I189" s="6" t="str">
        <f t="shared" si="4"/>
        <v/>
      </c>
      <c r="J189" s="11"/>
      <c r="K189" s="6" t="str">
        <f t="shared" si="5"/>
        <v/>
      </c>
      <c r="L189" s="11"/>
      <c r="M189" s="6" t="str">
        <f t="shared" si="6"/>
        <v/>
      </c>
      <c r="N189" s="11"/>
      <c r="O189" s="6" t="str">
        <f t="shared" si="7"/>
        <v/>
      </c>
      <c r="P189" s="12"/>
      <c r="Q189" s="8" t="str">
        <f>IF(P189="","",P189*'Config  Metas'!$B$10)</f>
        <v/>
      </c>
      <c r="R189" s="4" t="str">
        <f>IF(COUNTA(D189,E189,F189,H189,J189,L189,N189,P189)=0,"",IF(AND(D189&gt;0,E189/D189&lt;'Config  Metas'!$B$8),"🚨 COBERTURA DE LLAMADOS BAJA",IF(G189&lt;'Config  Metas'!$B$2,"🚨 CONTACTO BAJO",IF(I189&lt;'Config  Metas'!$B$3,"🚨 AGENDAMIENTO BAJO",IF(K189&lt;'Config  Metas'!$B$4,"⚠️ SHOW BAJO",IF(M189&lt;'Config  Metas'!$B$5,"🚨 RESERVA BAJA",IF(O189&lt;'Config  Metas'!$B$6,"🚨 CIERRE BAJO",IF(P189&lt;D189*'Config  Metas'!$B$15*'Config  Metas'!$B$9,"🔻 UF BAJO RITMO DINÁMICO","✅ DÍA SOBRE RITMO"))))))))</f>
        <v/>
      </c>
      <c r="S189" s="10"/>
      <c r="T189" s="10"/>
      <c r="U189" s="2"/>
      <c r="V189" s="2"/>
      <c r="W189" s="2"/>
      <c r="X189" s="2"/>
      <c r="Y189" s="2"/>
      <c r="Z189" s="2"/>
    </row>
    <row r="190" ht="15.75" customHeight="1">
      <c r="A190" s="3">
        <v>46355.0</v>
      </c>
      <c r="B190" s="4" t="str">
        <f t="shared" si="1"/>
        <v>Sem 27</v>
      </c>
      <c r="C190" s="4" t="str">
        <f t="shared" si="2"/>
        <v>Domingo</v>
      </c>
      <c r="D190" s="11"/>
      <c r="E190" s="11"/>
      <c r="F190" s="11"/>
      <c r="G190" s="6" t="str">
        <f t="shared" si="3"/>
        <v/>
      </c>
      <c r="H190" s="11"/>
      <c r="I190" s="6" t="str">
        <f t="shared" si="4"/>
        <v/>
      </c>
      <c r="J190" s="11"/>
      <c r="K190" s="6" t="str">
        <f t="shared" si="5"/>
        <v/>
      </c>
      <c r="L190" s="11"/>
      <c r="M190" s="6" t="str">
        <f t="shared" si="6"/>
        <v/>
      </c>
      <c r="N190" s="11"/>
      <c r="O190" s="6" t="str">
        <f t="shared" si="7"/>
        <v/>
      </c>
      <c r="P190" s="12"/>
      <c r="Q190" s="8" t="str">
        <f>IF(P190="","",P190*'Config  Metas'!$B$10)</f>
        <v/>
      </c>
      <c r="R190" s="4" t="str">
        <f>IF(COUNTA(D190,E190,F190,H190,J190,L190,N190,P190)=0,"",IF(AND(D190&gt;0,E190/D190&lt;'Config  Metas'!$B$8),"🚨 COBERTURA DE LLAMADOS BAJA",IF(G190&lt;'Config  Metas'!$B$2,"🚨 CONTACTO BAJO",IF(I190&lt;'Config  Metas'!$B$3,"🚨 AGENDAMIENTO BAJO",IF(K190&lt;'Config  Metas'!$B$4,"⚠️ SHOW BAJO",IF(M190&lt;'Config  Metas'!$B$5,"🚨 RESERVA BAJA",IF(O190&lt;'Config  Metas'!$B$6,"🚨 CIERRE BAJO",IF(P190&lt;D190*'Config  Metas'!$B$15*'Config  Metas'!$B$9,"🔻 UF BAJO RITMO DINÁMICO","✅ DÍA SOBRE RITMO"))))))))</f>
        <v/>
      </c>
      <c r="S190" s="10"/>
      <c r="T190" s="10"/>
      <c r="U190" s="2"/>
      <c r="V190" s="2"/>
      <c r="W190" s="2"/>
      <c r="X190" s="2"/>
      <c r="Y190" s="2"/>
      <c r="Z190" s="2"/>
    </row>
    <row r="191" ht="15.75" customHeight="1">
      <c r="A191" s="3">
        <v>46356.0</v>
      </c>
      <c r="B191" s="4" t="str">
        <f t="shared" si="1"/>
        <v>Sem 28</v>
      </c>
      <c r="C191" s="4" t="str">
        <f t="shared" si="2"/>
        <v>Lunes</v>
      </c>
      <c r="D191" s="11"/>
      <c r="E191" s="11"/>
      <c r="F191" s="11"/>
      <c r="G191" s="6" t="str">
        <f t="shared" si="3"/>
        <v/>
      </c>
      <c r="H191" s="11"/>
      <c r="I191" s="6" t="str">
        <f t="shared" si="4"/>
        <v/>
      </c>
      <c r="J191" s="11"/>
      <c r="K191" s="6" t="str">
        <f t="shared" si="5"/>
        <v/>
      </c>
      <c r="L191" s="11"/>
      <c r="M191" s="6" t="str">
        <f t="shared" si="6"/>
        <v/>
      </c>
      <c r="N191" s="11"/>
      <c r="O191" s="6" t="str">
        <f t="shared" si="7"/>
        <v/>
      </c>
      <c r="P191" s="12"/>
      <c r="Q191" s="8" t="str">
        <f>IF(P191="","",P191*'Config  Metas'!$B$10)</f>
        <v/>
      </c>
      <c r="R191" s="4" t="str">
        <f>IF(COUNTA(D191,E191,F191,H191,J191,L191,N191,P191)=0,"",IF(AND(D191&gt;0,E191/D191&lt;'Config  Metas'!$B$8),"🚨 COBERTURA DE LLAMADOS BAJA",IF(G191&lt;'Config  Metas'!$B$2,"🚨 CONTACTO BAJO",IF(I191&lt;'Config  Metas'!$B$3,"🚨 AGENDAMIENTO BAJO",IF(K191&lt;'Config  Metas'!$B$4,"⚠️ SHOW BAJO",IF(M191&lt;'Config  Metas'!$B$5,"🚨 RESERVA BAJA",IF(O191&lt;'Config  Metas'!$B$6,"🚨 CIERRE BAJO",IF(P191&lt;D191*'Config  Metas'!$B$15*'Config  Metas'!$B$9,"🔻 UF BAJO RITMO DINÁMICO","✅ DÍA SOBRE RITMO"))))))))</f>
        <v/>
      </c>
      <c r="S191" s="10"/>
      <c r="T191" s="10"/>
      <c r="U191" s="2"/>
      <c r="V191" s="2"/>
      <c r="W191" s="2"/>
      <c r="X191" s="2"/>
      <c r="Y191" s="2"/>
      <c r="Z191" s="2"/>
    </row>
    <row r="192" ht="15.75" customHeight="1">
      <c r="A192" s="3">
        <v>46357.0</v>
      </c>
      <c r="B192" s="4" t="str">
        <f t="shared" si="1"/>
        <v>Sem 28</v>
      </c>
      <c r="C192" s="4" t="str">
        <f t="shared" si="2"/>
        <v>Martes</v>
      </c>
      <c r="D192" s="11"/>
      <c r="E192" s="11"/>
      <c r="F192" s="11"/>
      <c r="G192" s="6" t="str">
        <f t="shared" si="3"/>
        <v/>
      </c>
      <c r="H192" s="11"/>
      <c r="I192" s="6" t="str">
        <f t="shared" si="4"/>
        <v/>
      </c>
      <c r="J192" s="11"/>
      <c r="K192" s="6" t="str">
        <f t="shared" si="5"/>
        <v/>
      </c>
      <c r="L192" s="11"/>
      <c r="M192" s="6" t="str">
        <f t="shared" si="6"/>
        <v/>
      </c>
      <c r="N192" s="11"/>
      <c r="O192" s="6" t="str">
        <f t="shared" si="7"/>
        <v/>
      </c>
      <c r="P192" s="12"/>
      <c r="Q192" s="8" t="str">
        <f>IF(P192="","",P192*'Config  Metas'!$B$10)</f>
        <v/>
      </c>
      <c r="R192" s="4" t="str">
        <f>IF(COUNTA(D192,E192,F192,H192,J192,L192,N192,P192)=0,"",IF(AND(D192&gt;0,E192/D192&lt;'Config  Metas'!$B$8),"🚨 COBERTURA DE LLAMADOS BAJA",IF(G192&lt;'Config  Metas'!$B$2,"🚨 CONTACTO BAJO",IF(I192&lt;'Config  Metas'!$B$3,"🚨 AGENDAMIENTO BAJO",IF(K192&lt;'Config  Metas'!$B$4,"⚠️ SHOW BAJO",IF(M192&lt;'Config  Metas'!$B$5,"🚨 RESERVA BAJA",IF(O192&lt;'Config  Metas'!$B$6,"🚨 CIERRE BAJO",IF(P192&lt;D192*'Config  Metas'!$B$15*'Config  Metas'!$B$9,"🔻 UF BAJO RITMO DINÁMICO","✅ DÍA SOBRE RITMO"))))))))</f>
        <v/>
      </c>
      <c r="S192" s="10"/>
      <c r="T192" s="10"/>
      <c r="U192" s="2"/>
      <c r="V192" s="2"/>
      <c r="W192" s="2"/>
      <c r="X192" s="2"/>
      <c r="Y192" s="2"/>
      <c r="Z192" s="2"/>
    </row>
    <row r="193" ht="15.75" customHeight="1">
      <c r="A193" s="3">
        <v>46358.0</v>
      </c>
      <c r="B193" s="4" t="str">
        <f t="shared" si="1"/>
        <v>Sem 28</v>
      </c>
      <c r="C193" s="4" t="str">
        <f t="shared" si="2"/>
        <v>Miércoles</v>
      </c>
      <c r="D193" s="11"/>
      <c r="E193" s="11"/>
      <c r="F193" s="11"/>
      <c r="G193" s="6" t="str">
        <f t="shared" si="3"/>
        <v/>
      </c>
      <c r="H193" s="11"/>
      <c r="I193" s="6" t="str">
        <f t="shared" si="4"/>
        <v/>
      </c>
      <c r="J193" s="11"/>
      <c r="K193" s="6" t="str">
        <f t="shared" si="5"/>
        <v/>
      </c>
      <c r="L193" s="11"/>
      <c r="M193" s="6" t="str">
        <f t="shared" si="6"/>
        <v/>
      </c>
      <c r="N193" s="11"/>
      <c r="O193" s="6" t="str">
        <f t="shared" si="7"/>
        <v/>
      </c>
      <c r="P193" s="12"/>
      <c r="Q193" s="8" t="str">
        <f>IF(P193="","",P193*'Config  Metas'!$B$10)</f>
        <v/>
      </c>
      <c r="R193" s="4" t="str">
        <f>IF(COUNTA(D193,E193,F193,H193,J193,L193,N193,P193)=0,"",IF(AND(D193&gt;0,E193/D193&lt;'Config  Metas'!$B$8),"🚨 COBERTURA DE LLAMADOS BAJA",IF(G193&lt;'Config  Metas'!$B$2,"🚨 CONTACTO BAJO",IF(I193&lt;'Config  Metas'!$B$3,"🚨 AGENDAMIENTO BAJO",IF(K193&lt;'Config  Metas'!$B$4,"⚠️ SHOW BAJO",IF(M193&lt;'Config  Metas'!$B$5,"🚨 RESERVA BAJA",IF(O193&lt;'Config  Metas'!$B$6,"🚨 CIERRE BAJO",IF(P193&lt;D193*'Config  Metas'!$B$15*'Config  Metas'!$B$9,"🔻 UF BAJO RITMO DINÁMICO","✅ DÍA SOBRE RITMO"))))))))</f>
        <v/>
      </c>
      <c r="S193" s="10"/>
      <c r="T193" s="10"/>
      <c r="U193" s="2"/>
      <c r="V193" s="2"/>
      <c r="W193" s="2"/>
      <c r="X193" s="2"/>
      <c r="Y193" s="2"/>
      <c r="Z193" s="2"/>
    </row>
    <row r="194" ht="15.75" customHeight="1">
      <c r="A194" s="3">
        <v>46359.0</v>
      </c>
      <c r="B194" s="4" t="str">
        <f t="shared" si="1"/>
        <v>Sem 28</v>
      </c>
      <c r="C194" s="4" t="str">
        <f t="shared" si="2"/>
        <v>Jueves</v>
      </c>
      <c r="D194" s="11"/>
      <c r="E194" s="11"/>
      <c r="F194" s="11"/>
      <c r="G194" s="6" t="str">
        <f t="shared" si="3"/>
        <v/>
      </c>
      <c r="H194" s="11"/>
      <c r="I194" s="6" t="str">
        <f t="shared" si="4"/>
        <v/>
      </c>
      <c r="J194" s="11"/>
      <c r="K194" s="6" t="str">
        <f t="shared" si="5"/>
        <v/>
      </c>
      <c r="L194" s="11"/>
      <c r="M194" s="6" t="str">
        <f t="shared" si="6"/>
        <v/>
      </c>
      <c r="N194" s="11"/>
      <c r="O194" s="6" t="str">
        <f t="shared" si="7"/>
        <v/>
      </c>
      <c r="P194" s="12"/>
      <c r="Q194" s="8" t="str">
        <f>IF(P194="","",P194*'Config  Metas'!$B$10)</f>
        <v/>
      </c>
      <c r="R194" s="4" t="str">
        <f>IF(COUNTA(D194,E194,F194,H194,J194,L194,N194,P194)=0,"",IF(AND(D194&gt;0,E194/D194&lt;'Config  Metas'!$B$8),"🚨 COBERTURA DE LLAMADOS BAJA",IF(G194&lt;'Config  Metas'!$B$2,"🚨 CONTACTO BAJO",IF(I194&lt;'Config  Metas'!$B$3,"🚨 AGENDAMIENTO BAJO",IF(K194&lt;'Config  Metas'!$B$4,"⚠️ SHOW BAJO",IF(M194&lt;'Config  Metas'!$B$5,"🚨 RESERVA BAJA",IF(O194&lt;'Config  Metas'!$B$6,"🚨 CIERRE BAJO",IF(P194&lt;D194*'Config  Metas'!$B$15*'Config  Metas'!$B$9,"🔻 UF BAJO RITMO DINÁMICO","✅ DÍA SOBRE RITMO"))))))))</f>
        <v/>
      </c>
      <c r="S194" s="10"/>
      <c r="T194" s="10"/>
      <c r="U194" s="2"/>
      <c r="V194" s="2"/>
      <c r="W194" s="2"/>
      <c r="X194" s="2"/>
      <c r="Y194" s="2"/>
      <c r="Z194" s="2"/>
    </row>
    <row r="195" ht="15.75" customHeight="1">
      <c r="A195" s="3">
        <v>46360.0</v>
      </c>
      <c r="B195" s="4" t="str">
        <f t="shared" si="1"/>
        <v>Sem 28</v>
      </c>
      <c r="C195" s="4" t="str">
        <f t="shared" si="2"/>
        <v>Viernes</v>
      </c>
      <c r="D195" s="11"/>
      <c r="E195" s="11"/>
      <c r="F195" s="11"/>
      <c r="G195" s="6" t="str">
        <f t="shared" si="3"/>
        <v/>
      </c>
      <c r="H195" s="11"/>
      <c r="I195" s="6" t="str">
        <f t="shared" si="4"/>
        <v/>
      </c>
      <c r="J195" s="11"/>
      <c r="K195" s="6" t="str">
        <f t="shared" si="5"/>
        <v/>
      </c>
      <c r="L195" s="11"/>
      <c r="M195" s="6" t="str">
        <f t="shared" si="6"/>
        <v/>
      </c>
      <c r="N195" s="11"/>
      <c r="O195" s="6" t="str">
        <f t="shared" si="7"/>
        <v/>
      </c>
      <c r="P195" s="12"/>
      <c r="Q195" s="8" t="str">
        <f>IF(P195="","",P195*'Config  Metas'!$B$10)</f>
        <v/>
      </c>
      <c r="R195" s="4" t="str">
        <f>IF(COUNTA(D195,E195,F195,H195,J195,L195,N195,P195)=0,"",IF(AND(D195&gt;0,E195/D195&lt;'Config  Metas'!$B$8),"🚨 COBERTURA DE LLAMADOS BAJA",IF(G195&lt;'Config  Metas'!$B$2,"🚨 CONTACTO BAJO",IF(I195&lt;'Config  Metas'!$B$3,"🚨 AGENDAMIENTO BAJO",IF(K195&lt;'Config  Metas'!$B$4,"⚠️ SHOW BAJO",IF(M195&lt;'Config  Metas'!$B$5,"🚨 RESERVA BAJA",IF(O195&lt;'Config  Metas'!$B$6,"🚨 CIERRE BAJO",IF(P195&lt;D195*'Config  Metas'!$B$15*'Config  Metas'!$B$9,"🔻 UF BAJO RITMO DINÁMICO","✅ DÍA SOBRE RITMO"))))))))</f>
        <v/>
      </c>
      <c r="S195" s="10"/>
      <c r="T195" s="10"/>
      <c r="U195" s="2"/>
      <c r="V195" s="2"/>
      <c r="W195" s="2"/>
      <c r="X195" s="2"/>
      <c r="Y195" s="2"/>
      <c r="Z195" s="2"/>
    </row>
    <row r="196" ht="15.75" customHeight="1">
      <c r="A196" s="3">
        <v>46361.0</v>
      </c>
      <c r="B196" s="4" t="str">
        <f t="shared" si="1"/>
        <v>Sem 28</v>
      </c>
      <c r="C196" s="4" t="str">
        <f t="shared" si="2"/>
        <v>Sábado</v>
      </c>
      <c r="D196" s="11"/>
      <c r="E196" s="11"/>
      <c r="F196" s="11"/>
      <c r="G196" s="6" t="str">
        <f t="shared" si="3"/>
        <v/>
      </c>
      <c r="H196" s="11"/>
      <c r="I196" s="6" t="str">
        <f t="shared" si="4"/>
        <v/>
      </c>
      <c r="J196" s="11"/>
      <c r="K196" s="6" t="str">
        <f t="shared" si="5"/>
        <v/>
      </c>
      <c r="L196" s="11"/>
      <c r="M196" s="6" t="str">
        <f t="shared" si="6"/>
        <v/>
      </c>
      <c r="N196" s="11"/>
      <c r="O196" s="6" t="str">
        <f t="shared" si="7"/>
        <v/>
      </c>
      <c r="P196" s="12"/>
      <c r="Q196" s="8" t="str">
        <f>IF(P196="","",P196*'Config  Metas'!$B$10)</f>
        <v/>
      </c>
      <c r="R196" s="4" t="str">
        <f>IF(COUNTA(D196,E196,F196,H196,J196,L196,N196,P196)=0,"",IF(AND(D196&gt;0,E196/D196&lt;'Config  Metas'!$B$8),"🚨 COBERTURA DE LLAMADOS BAJA",IF(G196&lt;'Config  Metas'!$B$2,"🚨 CONTACTO BAJO",IF(I196&lt;'Config  Metas'!$B$3,"🚨 AGENDAMIENTO BAJO",IF(K196&lt;'Config  Metas'!$B$4,"⚠️ SHOW BAJO",IF(M196&lt;'Config  Metas'!$B$5,"🚨 RESERVA BAJA",IF(O196&lt;'Config  Metas'!$B$6,"🚨 CIERRE BAJO",IF(P196&lt;D196*'Config  Metas'!$B$15*'Config  Metas'!$B$9,"🔻 UF BAJO RITMO DINÁMICO","✅ DÍA SOBRE RITMO"))))))))</f>
        <v/>
      </c>
      <c r="S196" s="10"/>
      <c r="T196" s="10"/>
      <c r="U196" s="2"/>
      <c r="V196" s="2"/>
      <c r="W196" s="2"/>
      <c r="X196" s="2"/>
      <c r="Y196" s="2"/>
      <c r="Z196" s="2"/>
    </row>
    <row r="197" ht="15.75" customHeight="1">
      <c r="A197" s="3">
        <v>46362.0</v>
      </c>
      <c r="B197" s="4" t="str">
        <f t="shared" si="1"/>
        <v>Sem 28</v>
      </c>
      <c r="C197" s="4" t="str">
        <f t="shared" si="2"/>
        <v>Domingo</v>
      </c>
      <c r="D197" s="11"/>
      <c r="E197" s="11"/>
      <c r="F197" s="11"/>
      <c r="G197" s="6" t="str">
        <f t="shared" si="3"/>
        <v/>
      </c>
      <c r="H197" s="11"/>
      <c r="I197" s="6" t="str">
        <f t="shared" si="4"/>
        <v/>
      </c>
      <c r="J197" s="11"/>
      <c r="K197" s="6" t="str">
        <f t="shared" si="5"/>
        <v/>
      </c>
      <c r="L197" s="11"/>
      <c r="M197" s="6" t="str">
        <f t="shared" si="6"/>
        <v/>
      </c>
      <c r="N197" s="11"/>
      <c r="O197" s="6" t="str">
        <f t="shared" si="7"/>
        <v/>
      </c>
      <c r="P197" s="12"/>
      <c r="Q197" s="8" t="str">
        <f>IF(P197="","",P197*'Config  Metas'!$B$10)</f>
        <v/>
      </c>
      <c r="R197" s="4" t="str">
        <f>IF(COUNTA(D197,E197,F197,H197,J197,L197,N197,P197)=0,"",IF(AND(D197&gt;0,E197/D197&lt;'Config  Metas'!$B$8),"🚨 COBERTURA DE LLAMADOS BAJA",IF(G197&lt;'Config  Metas'!$B$2,"🚨 CONTACTO BAJO",IF(I197&lt;'Config  Metas'!$B$3,"🚨 AGENDAMIENTO BAJO",IF(K197&lt;'Config  Metas'!$B$4,"⚠️ SHOW BAJO",IF(M197&lt;'Config  Metas'!$B$5,"🚨 RESERVA BAJA",IF(O197&lt;'Config  Metas'!$B$6,"🚨 CIERRE BAJO",IF(P197&lt;D197*'Config  Metas'!$B$15*'Config  Metas'!$B$9,"🔻 UF BAJO RITMO DINÁMICO","✅ DÍA SOBRE RITMO"))))))))</f>
        <v/>
      </c>
      <c r="S197" s="10"/>
      <c r="T197" s="10"/>
      <c r="U197" s="2"/>
      <c r="V197" s="2"/>
      <c r="W197" s="2"/>
      <c r="X197" s="2"/>
      <c r="Y197" s="2"/>
      <c r="Z197" s="2"/>
    </row>
    <row r="198" ht="15.75" customHeight="1">
      <c r="A198" s="3">
        <v>46363.0</v>
      </c>
      <c r="B198" s="4" t="str">
        <f t="shared" si="1"/>
        <v>Sem 29</v>
      </c>
      <c r="C198" s="4" t="str">
        <f t="shared" si="2"/>
        <v>Lunes</v>
      </c>
      <c r="D198" s="11"/>
      <c r="E198" s="11"/>
      <c r="F198" s="11"/>
      <c r="G198" s="6" t="str">
        <f t="shared" si="3"/>
        <v/>
      </c>
      <c r="H198" s="11"/>
      <c r="I198" s="6" t="str">
        <f t="shared" si="4"/>
        <v/>
      </c>
      <c r="J198" s="11"/>
      <c r="K198" s="6" t="str">
        <f t="shared" si="5"/>
        <v/>
      </c>
      <c r="L198" s="11"/>
      <c r="M198" s="6" t="str">
        <f t="shared" si="6"/>
        <v/>
      </c>
      <c r="N198" s="11"/>
      <c r="O198" s="6" t="str">
        <f t="shared" si="7"/>
        <v/>
      </c>
      <c r="P198" s="12"/>
      <c r="Q198" s="8" t="str">
        <f>IF(P198="","",P198*'Config  Metas'!$B$10)</f>
        <v/>
      </c>
      <c r="R198" s="4" t="str">
        <f>IF(COUNTA(D198,E198,F198,H198,J198,L198,N198,P198)=0,"",IF(AND(D198&gt;0,E198/D198&lt;'Config  Metas'!$B$8),"🚨 COBERTURA DE LLAMADOS BAJA",IF(G198&lt;'Config  Metas'!$B$2,"🚨 CONTACTO BAJO",IF(I198&lt;'Config  Metas'!$B$3,"🚨 AGENDAMIENTO BAJO",IF(K198&lt;'Config  Metas'!$B$4,"⚠️ SHOW BAJO",IF(M198&lt;'Config  Metas'!$B$5,"🚨 RESERVA BAJA",IF(O198&lt;'Config  Metas'!$B$6,"🚨 CIERRE BAJO",IF(P198&lt;D198*'Config  Metas'!$B$15*'Config  Metas'!$B$9,"🔻 UF BAJO RITMO DINÁMICO","✅ DÍA SOBRE RITMO"))))))))</f>
        <v/>
      </c>
      <c r="S198" s="10"/>
      <c r="T198" s="10"/>
      <c r="U198" s="2"/>
      <c r="V198" s="2"/>
      <c r="W198" s="2"/>
      <c r="X198" s="2"/>
      <c r="Y198" s="2"/>
      <c r="Z198" s="2"/>
    </row>
    <row r="199" ht="15.75" customHeight="1">
      <c r="A199" s="3">
        <v>46364.0</v>
      </c>
      <c r="B199" s="4" t="str">
        <f t="shared" si="1"/>
        <v>Sem 29</v>
      </c>
      <c r="C199" s="4" t="str">
        <f t="shared" si="2"/>
        <v>Martes</v>
      </c>
      <c r="D199" s="11"/>
      <c r="E199" s="11"/>
      <c r="F199" s="11"/>
      <c r="G199" s="6" t="str">
        <f t="shared" si="3"/>
        <v/>
      </c>
      <c r="H199" s="11"/>
      <c r="I199" s="6" t="str">
        <f t="shared" si="4"/>
        <v/>
      </c>
      <c r="J199" s="11"/>
      <c r="K199" s="6" t="str">
        <f t="shared" si="5"/>
        <v/>
      </c>
      <c r="L199" s="11"/>
      <c r="M199" s="6" t="str">
        <f t="shared" si="6"/>
        <v/>
      </c>
      <c r="N199" s="11"/>
      <c r="O199" s="6" t="str">
        <f t="shared" si="7"/>
        <v/>
      </c>
      <c r="P199" s="12"/>
      <c r="Q199" s="8" t="str">
        <f>IF(P199="","",P199*'Config  Metas'!$B$10)</f>
        <v/>
      </c>
      <c r="R199" s="4" t="str">
        <f>IF(COUNTA(D199,E199,F199,H199,J199,L199,N199,P199)=0,"",IF(AND(D199&gt;0,E199/D199&lt;'Config  Metas'!$B$8),"🚨 COBERTURA DE LLAMADOS BAJA",IF(G199&lt;'Config  Metas'!$B$2,"🚨 CONTACTO BAJO",IF(I199&lt;'Config  Metas'!$B$3,"🚨 AGENDAMIENTO BAJO",IF(K199&lt;'Config  Metas'!$B$4,"⚠️ SHOW BAJO",IF(M199&lt;'Config  Metas'!$B$5,"🚨 RESERVA BAJA",IF(O199&lt;'Config  Metas'!$B$6,"🚨 CIERRE BAJO",IF(P199&lt;D199*'Config  Metas'!$B$15*'Config  Metas'!$B$9,"🔻 UF BAJO RITMO DINÁMICO","✅ DÍA SOBRE RITMO"))))))))</f>
        <v/>
      </c>
      <c r="S199" s="10"/>
      <c r="T199" s="10"/>
      <c r="U199" s="2"/>
      <c r="V199" s="2"/>
      <c r="W199" s="2"/>
      <c r="X199" s="2"/>
      <c r="Y199" s="2"/>
      <c r="Z199" s="2"/>
    </row>
    <row r="200" ht="15.75" customHeight="1">
      <c r="A200" s="3">
        <v>46365.0</v>
      </c>
      <c r="B200" s="4" t="str">
        <f t="shared" si="1"/>
        <v>Sem 29</v>
      </c>
      <c r="C200" s="4" t="str">
        <f t="shared" si="2"/>
        <v>Miércoles</v>
      </c>
      <c r="D200" s="11"/>
      <c r="E200" s="11"/>
      <c r="F200" s="11"/>
      <c r="G200" s="6" t="str">
        <f t="shared" si="3"/>
        <v/>
      </c>
      <c r="H200" s="11"/>
      <c r="I200" s="6" t="str">
        <f t="shared" si="4"/>
        <v/>
      </c>
      <c r="J200" s="11"/>
      <c r="K200" s="6" t="str">
        <f t="shared" si="5"/>
        <v/>
      </c>
      <c r="L200" s="11"/>
      <c r="M200" s="6" t="str">
        <f t="shared" si="6"/>
        <v/>
      </c>
      <c r="N200" s="11"/>
      <c r="O200" s="6" t="str">
        <f t="shared" si="7"/>
        <v/>
      </c>
      <c r="P200" s="12"/>
      <c r="Q200" s="8" t="str">
        <f>IF(P200="","",P200*'Config  Metas'!$B$10)</f>
        <v/>
      </c>
      <c r="R200" s="4" t="str">
        <f>IF(COUNTA(D200,E200,F200,H200,J200,L200,N200,P200)=0,"",IF(AND(D200&gt;0,E200/D200&lt;'Config  Metas'!$B$8),"🚨 COBERTURA DE LLAMADOS BAJA",IF(G200&lt;'Config  Metas'!$B$2,"🚨 CONTACTO BAJO",IF(I200&lt;'Config  Metas'!$B$3,"🚨 AGENDAMIENTO BAJO",IF(K200&lt;'Config  Metas'!$B$4,"⚠️ SHOW BAJO",IF(M200&lt;'Config  Metas'!$B$5,"🚨 RESERVA BAJA",IF(O200&lt;'Config  Metas'!$B$6,"🚨 CIERRE BAJO",IF(P200&lt;D200*'Config  Metas'!$B$15*'Config  Metas'!$B$9,"🔻 UF BAJO RITMO DINÁMICO","✅ DÍA SOBRE RITMO"))))))))</f>
        <v/>
      </c>
      <c r="S200" s="10"/>
      <c r="T200" s="10"/>
      <c r="U200" s="2"/>
      <c r="V200" s="2"/>
      <c r="W200" s="2"/>
      <c r="X200" s="2"/>
      <c r="Y200" s="2"/>
      <c r="Z200" s="2"/>
    </row>
    <row r="201" ht="15.75" customHeight="1">
      <c r="A201" s="3">
        <v>46366.0</v>
      </c>
      <c r="B201" s="4" t="str">
        <f t="shared" si="1"/>
        <v>Sem 29</v>
      </c>
      <c r="C201" s="4" t="str">
        <f t="shared" si="2"/>
        <v>Jueves</v>
      </c>
      <c r="D201" s="11"/>
      <c r="E201" s="11"/>
      <c r="F201" s="11"/>
      <c r="G201" s="6" t="str">
        <f t="shared" si="3"/>
        <v/>
      </c>
      <c r="H201" s="11"/>
      <c r="I201" s="6" t="str">
        <f t="shared" si="4"/>
        <v/>
      </c>
      <c r="J201" s="11"/>
      <c r="K201" s="6" t="str">
        <f t="shared" si="5"/>
        <v/>
      </c>
      <c r="L201" s="11"/>
      <c r="M201" s="6" t="str">
        <f t="shared" si="6"/>
        <v/>
      </c>
      <c r="N201" s="11"/>
      <c r="O201" s="6" t="str">
        <f t="shared" si="7"/>
        <v/>
      </c>
      <c r="P201" s="12"/>
      <c r="Q201" s="8" t="str">
        <f>IF(P201="","",P201*'Config  Metas'!$B$10)</f>
        <v/>
      </c>
      <c r="R201" s="4" t="str">
        <f>IF(COUNTA(D201,E201,F201,H201,J201,L201,N201,P201)=0,"",IF(AND(D201&gt;0,E201/D201&lt;'Config  Metas'!$B$8),"🚨 COBERTURA DE LLAMADOS BAJA",IF(G201&lt;'Config  Metas'!$B$2,"🚨 CONTACTO BAJO",IF(I201&lt;'Config  Metas'!$B$3,"🚨 AGENDAMIENTO BAJO",IF(K201&lt;'Config  Metas'!$B$4,"⚠️ SHOW BAJO",IF(M201&lt;'Config  Metas'!$B$5,"🚨 RESERVA BAJA",IF(O201&lt;'Config  Metas'!$B$6,"🚨 CIERRE BAJO",IF(P201&lt;D201*'Config  Metas'!$B$15*'Config  Metas'!$B$9,"🔻 UF BAJO RITMO DINÁMICO","✅ DÍA SOBRE RITMO"))))))))</f>
        <v/>
      </c>
      <c r="S201" s="10"/>
      <c r="T201" s="10"/>
      <c r="U201" s="2"/>
      <c r="V201" s="2"/>
      <c r="W201" s="2"/>
      <c r="X201" s="2"/>
      <c r="Y201" s="2"/>
      <c r="Z201" s="2"/>
    </row>
    <row r="202" ht="15.75" customHeight="1">
      <c r="A202" s="3">
        <v>46367.0</v>
      </c>
      <c r="B202" s="4" t="str">
        <f t="shared" si="1"/>
        <v>Sem 29</v>
      </c>
      <c r="C202" s="4" t="str">
        <f t="shared" si="2"/>
        <v>Viernes</v>
      </c>
      <c r="D202" s="11"/>
      <c r="E202" s="11"/>
      <c r="F202" s="11"/>
      <c r="G202" s="6" t="str">
        <f t="shared" si="3"/>
        <v/>
      </c>
      <c r="H202" s="11"/>
      <c r="I202" s="6" t="str">
        <f t="shared" si="4"/>
        <v/>
      </c>
      <c r="J202" s="11"/>
      <c r="K202" s="6" t="str">
        <f t="shared" si="5"/>
        <v/>
      </c>
      <c r="L202" s="11"/>
      <c r="M202" s="6" t="str">
        <f t="shared" si="6"/>
        <v/>
      </c>
      <c r="N202" s="11"/>
      <c r="O202" s="6" t="str">
        <f t="shared" si="7"/>
        <v/>
      </c>
      <c r="P202" s="12"/>
      <c r="Q202" s="8" t="str">
        <f>IF(P202="","",P202*'Config  Metas'!$B$10)</f>
        <v/>
      </c>
      <c r="R202" s="4" t="str">
        <f>IF(COUNTA(D202,E202,F202,H202,J202,L202,N202,P202)=0,"",IF(AND(D202&gt;0,E202/D202&lt;'Config  Metas'!$B$8),"🚨 COBERTURA DE LLAMADOS BAJA",IF(G202&lt;'Config  Metas'!$B$2,"🚨 CONTACTO BAJO",IF(I202&lt;'Config  Metas'!$B$3,"🚨 AGENDAMIENTO BAJO",IF(K202&lt;'Config  Metas'!$B$4,"⚠️ SHOW BAJO",IF(M202&lt;'Config  Metas'!$B$5,"🚨 RESERVA BAJA",IF(O202&lt;'Config  Metas'!$B$6,"🚨 CIERRE BAJO",IF(P202&lt;D202*'Config  Metas'!$B$15*'Config  Metas'!$B$9,"🔻 UF BAJO RITMO DINÁMICO","✅ DÍA SOBRE RITMO"))))))))</f>
        <v/>
      </c>
      <c r="S202" s="10"/>
      <c r="T202" s="10"/>
      <c r="U202" s="2"/>
      <c r="V202" s="2"/>
      <c r="W202" s="2"/>
      <c r="X202" s="2"/>
      <c r="Y202" s="2"/>
      <c r="Z202" s="2"/>
    </row>
    <row r="203" ht="15.75" customHeight="1">
      <c r="A203" s="3">
        <v>46368.0</v>
      </c>
      <c r="B203" s="4" t="str">
        <f t="shared" si="1"/>
        <v>Sem 29</v>
      </c>
      <c r="C203" s="4" t="str">
        <f t="shared" si="2"/>
        <v>Sábado</v>
      </c>
      <c r="D203" s="11"/>
      <c r="E203" s="11"/>
      <c r="F203" s="11"/>
      <c r="G203" s="6" t="str">
        <f t="shared" si="3"/>
        <v/>
      </c>
      <c r="H203" s="11"/>
      <c r="I203" s="6" t="str">
        <f t="shared" si="4"/>
        <v/>
      </c>
      <c r="J203" s="11"/>
      <c r="K203" s="6" t="str">
        <f t="shared" si="5"/>
        <v/>
      </c>
      <c r="L203" s="11"/>
      <c r="M203" s="6" t="str">
        <f t="shared" si="6"/>
        <v/>
      </c>
      <c r="N203" s="11"/>
      <c r="O203" s="6" t="str">
        <f t="shared" si="7"/>
        <v/>
      </c>
      <c r="P203" s="12"/>
      <c r="Q203" s="8" t="str">
        <f>IF(P203="","",P203*'Config  Metas'!$B$10)</f>
        <v/>
      </c>
      <c r="R203" s="4" t="str">
        <f>IF(COUNTA(D203,E203,F203,H203,J203,L203,N203,P203)=0,"",IF(AND(D203&gt;0,E203/D203&lt;'Config  Metas'!$B$8),"🚨 COBERTURA DE LLAMADOS BAJA",IF(G203&lt;'Config  Metas'!$B$2,"🚨 CONTACTO BAJO",IF(I203&lt;'Config  Metas'!$B$3,"🚨 AGENDAMIENTO BAJO",IF(K203&lt;'Config  Metas'!$B$4,"⚠️ SHOW BAJO",IF(M203&lt;'Config  Metas'!$B$5,"🚨 RESERVA BAJA",IF(O203&lt;'Config  Metas'!$B$6,"🚨 CIERRE BAJO",IF(P203&lt;D203*'Config  Metas'!$B$15*'Config  Metas'!$B$9,"🔻 UF BAJO RITMO DINÁMICO","✅ DÍA SOBRE RITMO"))))))))</f>
        <v/>
      </c>
      <c r="S203" s="10"/>
      <c r="T203" s="10"/>
      <c r="U203" s="2"/>
      <c r="V203" s="2"/>
      <c r="W203" s="2"/>
      <c r="X203" s="2"/>
      <c r="Y203" s="2"/>
      <c r="Z203" s="2"/>
    </row>
    <row r="204" ht="15.75" customHeight="1">
      <c r="A204" s="3">
        <v>46369.0</v>
      </c>
      <c r="B204" s="4" t="str">
        <f t="shared" si="1"/>
        <v>Sem 29</v>
      </c>
      <c r="C204" s="4" t="str">
        <f t="shared" si="2"/>
        <v>Domingo</v>
      </c>
      <c r="D204" s="11"/>
      <c r="E204" s="11"/>
      <c r="F204" s="11"/>
      <c r="G204" s="6" t="str">
        <f t="shared" si="3"/>
        <v/>
      </c>
      <c r="H204" s="11"/>
      <c r="I204" s="6" t="str">
        <f t="shared" si="4"/>
        <v/>
      </c>
      <c r="J204" s="11"/>
      <c r="K204" s="6" t="str">
        <f t="shared" si="5"/>
        <v/>
      </c>
      <c r="L204" s="11"/>
      <c r="M204" s="6" t="str">
        <f t="shared" si="6"/>
        <v/>
      </c>
      <c r="N204" s="11"/>
      <c r="O204" s="6" t="str">
        <f t="shared" si="7"/>
        <v/>
      </c>
      <c r="P204" s="12"/>
      <c r="Q204" s="8" t="str">
        <f>IF(P204="","",P204*'Config  Metas'!$B$10)</f>
        <v/>
      </c>
      <c r="R204" s="4" t="str">
        <f>IF(COUNTA(D204,E204,F204,H204,J204,L204,N204,P204)=0,"",IF(AND(D204&gt;0,E204/D204&lt;'Config  Metas'!$B$8),"🚨 COBERTURA DE LLAMADOS BAJA",IF(G204&lt;'Config  Metas'!$B$2,"🚨 CONTACTO BAJO",IF(I204&lt;'Config  Metas'!$B$3,"🚨 AGENDAMIENTO BAJO",IF(K204&lt;'Config  Metas'!$B$4,"⚠️ SHOW BAJO",IF(M204&lt;'Config  Metas'!$B$5,"🚨 RESERVA BAJA",IF(O204&lt;'Config  Metas'!$B$6,"🚨 CIERRE BAJO",IF(P204&lt;D204*'Config  Metas'!$B$15*'Config  Metas'!$B$9,"🔻 UF BAJO RITMO DINÁMICO","✅ DÍA SOBRE RITMO"))))))))</f>
        <v/>
      </c>
      <c r="S204" s="10"/>
      <c r="T204" s="10"/>
      <c r="U204" s="2"/>
      <c r="V204" s="2"/>
      <c r="W204" s="2"/>
      <c r="X204" s="2"/>
      <c r="Y204" s="2"/>
      <c r="Z204" s="2"/>
    </row>
    <row r="205" ht="15.75" customHeight="1">
      <c r="A205" s="3">
        <v>46370.0</v>
      </c>
      <c r="B205" s="4" t="str">
        <f t="shared" si="1"/>
        <v>Sem 30</v>
      </c>
      <c r="C205" s="4" t="str">
        <f t="shared" si="2"/>
        <v>Lunes</v>
      </c>
      <c r="D205" s="11"/>
      <c r="E205" s="11"/>
      <c r="F205" s="11"/>
      <c r="G205" s="6" t="str">
        <f t="shared" si="3"/>
        <v/>
      </c>
      <c r="H205" s="11"/>
      <c r="I205" s="6" t="str">
        <f t="shared" si="4"/>
        <v/>
      </c>
      <c r="J205" s="11"/>
      <c r="K205" s="6" t="str">
        <f t="shared" si="5"/>
        <v/>
      </c>
      <c r="L205" s="11"/>
      <c r="M205" s="6" t="str">
        <f t="shared" si="6"/>
        <v/>
      </c>
      <c r="N205" s="11"/>
      <c r="O205" s="6" t="str">
        <f t="shared" si="7"/>
        <v/>
      </c>
      <c r="P205" s="12"/>
      <c r="Q205" s="8" t="str">
        <f>IF(P205="","",P205*'Config  Metas'!$B$10)</f>
        <v/>
      </c>
      <c r="R205" s="4" t="str">
        <f>IF(COUNTA(D205,E205,F205,H205,J205,L205,N205,P205)=0,"",IF(AND(D205&gt;0,E205/D205&lt;'Config  Metas'!$B$8),"🚨 COBERTURA DE LLAMADOS BAJA",IF(G205&lt;'Config  Metas'!$B$2,"🚨 CONTACTO BAJO",IF(I205&lt;'Config  Metas'!$B$3,"🚨 AGENDAMIENTO BAJO",IF(K205&lt;'Config  Metas'!$B$4,"⚠️ SHOW BAJO",IF(M205&lt;'Config  Metas'!$B$5,"🚨 RESERVA BAJA",IF(O205&lt;'Config  Metas'!$B$6,"🚨 CIERRE BAJO",IF(P205&lt;D205*'Config  Metas'!$B$15*'Config  Metas'!$B$9,"🔻 UF BAJO RITMO DINÁMICO","✅ DÍA SOBRE RITMO"))))))))</f>
        <v/>
      </c>
      <c r="S205" s="10"/>
      <c r="T205" s="10"/>
      <c r="U205" s="2"/>
      <c r="V205" s="2"/>
      <c r="W205" s="2"/>
      <c r="X205" s="2"/>
      <c r="Y205" s="2"/>
      <c r="Z205" s="2"/>
    </row>
    <row r="206" ht="15.75" customHeight="1">
      <c r="A206" s="3">
        <v>46371.0</v>
      </c>
      <c r="B206" s="4" t="str">
        <f t="shared" si="1"/>
        <v>Sem 30</v>
      </c>
      <c r="C206" s="4" t="str">
        <f t="shared" si="2"/>
        <v>Martes</v>
      </c>
      <c r="D206" s="11"/>
      <c r="E206" s="11"/>
      <c r="F206" s="11"/>
      <c r="G206" s="6" t="str">
        <f t="shared" si="3"/>
        <v/>
      </c>
      <c r="H206" s="11"/>
      <c r="I206" s="6" t="str">
        <f t="shared" si="4"/>
        <v/>
      </c>
      <c r="J206" s="11"/>
      <c r="K206" s="6" t="str">
        <f t="shared" si="5"/>
        <v/>
      </c>
      <c r="L206" s="11"/>
      <c r="M206" s="6" t="str">
        <f t="shared" si="6"/>
        <v/>
      </c>
      <c r="N206" s="11"/>
      <c r="O206" s="6" t="str">
        <f t="shared" si="7"/>
        <v/>
      </c>
      <c r="P206" s="12"/>
      <c r="Q206" s="8" t="str">
        <f>IF(P206="","",P206*'Config  Metas'!$B$10)</f>
        <v/>
      </c>
      <c r="R206" s="4" t="str">
        <f>IF(COUNTA(D206,E206,F206,H206,J206,L206,N206,P206)=0,"",IF(AND(D206&gt;0,E206/D206&lt;'Config  Metas'!$B$8),"🚨 COBERTURA DE LLAMADOS BAJA",IF(G206&lt;'Config  Metas'!$B$2,"🚨 CONTACTO BAJO",IF(I206&lt;'Config  Metas'!$B$3,"🚨 AGENDAMIENTO BAJO",IF(K206&lt;'Config  Metas'!$B$4,"⚠️ SHOW BAJO",IF(M206&lt;'Config  Metas'!$B$5,"🚨 RESERVA BAJA",IF(O206&lt;'Config  Metas'!$B$6,"🚨 CIERRE BAJO",IF(P206&lt;D206*'Config  Metas'!$B$15*'Config  Metas'!$B$9,"🔻 UF BAJO RITMO DINÁMICO","✅ DÍA SOBRE RITMO"))))))))</f>
        <v/>
      </c>
      <c r="S206" s="10"/>
      <c r="T206" s="10"/>
      <c r="U206" s="2"/>
      <c r="V206" s="2"/>
      <c r="W206" s="2"/>
      <c r="X206" s="2"/>
      <c r="Y206" s="2"/>
      <c r="Z206" s="2"/>
    </row>
    <row r="207" ht="15.75" customHeight="1">
      <c r="A207" s="3">
        <v>46372.0</v>
      </c>
      <c r="B207" s="4" t="str">
        <f t="shared" si="1"/>
        <v>Sem 30</v>
      </c>
      <c r="C207" s="4" t="str">
        <f t="shared" si="2"/>
        <v>Miércoles</v>
      </c>
      <c r="D207" s="11"/>
      <c r="E207" s="11"/>
      <c r="F207" s="11"/>
      <c r="G207" s="6" t="str">
        <f t="shared" si="3"/>
        <v/>
      </c>
      <c r="H207" s="11"/>
      <c r="I207" s="6" t="str">
        <f t="shared" si="4"/>
        <v/>
      </c>
      <c r="J207" s="11"/>
      <c r="K207" s="6" t="str">
        <f t="shared" si="5"/>
        <v/>
      </c>
      <c r="L207" s="11"/>
      <c r="M207" s="6" t="str">
        <f t="shared" si="6"/>
        <v/>
      </c>
      <c r="N207" s="11"/>
      <c r="O207" s="6" t="str">
        <f t="shared" si="7"/>
        <v/>
      </c>
      <c r="P207" s="12"/>
      <c r="Q207" s="8" t="str">
        <f>IF(P207="","",P207*'Config  Metas'!$B$10)</f>
        <v/>
      </c>
      <c r="R207" s="4" t="str">
        <f>IF(COUNTA(D207,E207,F207,H207,J207,L207,N207,P207)=0,"",IF(AND(D207&gt;0,E207/D207&lt;'Config  Metas'!$B$8),"🚨 COBERTURA DE LLAMADOS BAJA",IF(G207&lt;'Config  Metas'!$B$2,"🚨 CONTACTO BAJO",IF(I207&lt;'Config  Metas'!$B$3,"🚨 AGENDAMIENTO BAJO",IF(K207&lt;'Config  Metas'!$B$4,"⚠️ SHOW BAJO",IF(M207&lt;'Config  Metas'!$B$5,"🚨 RESERVA BAJA",IF(O207&lt;'Config  Metas'!$B$6,"🚨 CIERRE BAJO",IF(P207&lt;D207*'Config  Metas'!$B$15*'Config  Metas'!$B$9,"🔻 UF BAJO RITMO DINÁMICO","✅ DÍA SOBRE RITMO"))))))))</f>
        <v/>
      </c>
      <c r="S207" s="10"/>
      <c r="T207" s="10"/>
      <c r="U207" s="2"/>
      <c r="V207" s="2"/>
      <c r="W207" s="2"/>
      <c r="X207" s="2"/>
      <c r="Y207" s="2"/>
      <c r="Z207" s="2"/>
    </row>
    <row r="208" ht="15.75" customHeight="1">
      <c r="A208" s="3">
        <v>46373.0</v>
      </c>
      <c r="B208" s="4" t="str">
        <f t="shared" si="1"/>
        <v>Sem 30</v>
      </c>
      <c r="C208" s="4" t="str">
        <f t="shared" si="2"/>
        <v>Jueves</v>
      </c>
      <c r="D208" s="11"/>
      <c r="E208" s="11"/>
      <c r="F208" s="11"/>
      <c r="G208" s="6" t="str">
        <f t="shared" si="3"/>
        <v/>
      </c>
      <c r="H208" s="11"/>
      <c r="I208" s="6" t="str">
        <f t="shared" si="4"/>
        <v/>
      </c>
      <c r="J208" s="11"/>
      <c r="K208" s="6" t="str">
        <f t="shared" si="5"/>
        <v/>
      </c>
      <c r="L208" s="11"/>
      <c r="M208" s="6" t="str">
        <f t="shared" si="6"/>
        <v/>
      </c>
      <c r="N208" s="11"/>
      <c r="O208" s="6" t="str">
        <f t="shared" si="7"/>
        <v/>
      </c>
      <c r="P208" s="12"/>
      <c r="Q208" s="8" t="str">
        <f>IF(P208="","",P208*'Config  Metas'!$B$10)</f>
        <v/>
      </c>
      <c r="R208" s="4" t="str">
        <f>IF(COUNTA(D208,E208,F208,H208,J208,L208,N208,P208)=0,"",IF(AND(D208&gt;0,E208/D208&lt;'Config  Metas'!$B$8),"🚨 COBERTURA DE LLAMADOS BAJA",IF(G208&lt;'Config  Metas'!$B$2,"🚨 CONTACTO BAJO",IF(I208&lt;'Config  Metas'!$B$3,"🚨 AGENDAMIENTO BAJO",IF(K208&lt;'Config  Metas'!$B$4,"⚠️ SHOW BAJO",IF(M208&lt;'Config  Metas'!$B$5,"🚨 RESERVA BAJA",IF(O208&lt;'Config  Metas'!$B$6,"🚨 CIERRE BAJO",IF(P208&lt;D208*'Config  Metas'!$B$15*'Config  Metas'!$B$9,"🔻 UF BAJO RITMO DINÁMICO","✅ DÍA SOBRE RITMO"))))))))</f>
        <v/>
      </c>
      <c r="S208" s="10"/>
      <c r="T208" s="10"/>
      <c r="U208" s="2"/>
      <c r="V208" s="2"/>
      <c r="W208" s="2"/>
      <c r="X208" s="2"/>
      <c r="Y208" s="2"/>
      <c r="Z208" s="2"/>
    </row>
    <row r="209" ht="15.75" customHeight="1">
      <c r="A209" s="3">
        <v>46374.0</v>
      </c>
      <c r="B209" s="4" t="str">
        <f t="shared" si="1"/>
        <v>Sem 30</v>
      </c>
      <c r="C209" s="4" t="str">
        <f t="shared" si="2"/>
        <v>Viernes</v>
      </c>
      <c r="D209" s="11"/>
      <c r="E209" s="11"/>
      <c r="F209" s="11"/>
      <c r="G209" s="6" t="str">
        <f t="shared" si="3"/>
        <v/>
      </c>
      <c r="H209" s="11"/>
      <c r="I209" s="6" t="str">
        <f t="shared" si="4"/>
        <v/>
      </c>
      <c r="J209" s="11"/>
      <c r="K209" s="6" t="str">
        <f t="shared" si="5"/>
        <v/>
      </c>
      <c r="L209" s="11"/>
      <c r="M209" s="6" t="str">
        <f t="shared" si="6"/>
        <v/>
      </c>
      <c r="N209" s="11"/>
      <c r="O209" s="6" t="str">
        <f t="shared" si="7"/>
        <v/>
      </c>
      <c r="P209" s="12"/>
      <c r="Q209" s="8" t="str">
        <f>IF(P209="","",P209*'Config  Metas'!$B$10)</f>
        <v/>
      </c>
      <c r="R209" s="4" t="str">
        <f>IF(COUNTA(D209,E209,F209,H209,J209,L209,N209,P209)=0,"",IF(AND(D209&gt;0,E209/D209&lt;'Config  Metas'!$B$8),"🚨 COBERTURA DE LLAMADOS BAJA",IF(G209&lt;'Config  Metas'!$B$2,"🚨 CONTACTO BAJO",IF(I209&lt;'Config  Metas'!$B$3,"🚨 AGENDAMIENTO BAJO",IF(K209&lt;'Config  Metas'!$B$4,"⚠️ SHOW BAJO",IF(M209&lt;'Config  Metas'!$B$5,"🚨 RESERVA BAJA",IF(O209&lt;'Config  Metas'!$B$6,"🚨 CIERRE BAJO",IF(P209&lt;D209*'Config  Metas'!$B$15*'Config  Metas'!$B$9,"🔻 UF BAJO RITMO DINÁMICO","✅ DÍA SOBRE RITMO"))))))))</f>
        <v/>
      </c>
      <c r="S209" s="10"/>
      <c r="T209" s="10"/>
      <c r="U209" s="2"/>
      <c r="V209" s="2"/>
      <c r="W209" s="2"/>
      <c r="X209" s="2"/>
      <c r="Y209" s="2"/>
      <c r="Z209" s="2"/>
    </row>
    <row r="210" ht="15.75" customHeight="1">
      <c r="A210" s="3">
        <v>46375.0</v>
      </c>
      <c r="B210" s="4" t="str">
        <f t="shared" si="1"/>
        <v>Sem 30</v>
      </c>
      <c r="C210" s="4" t="str">
        <f t="shared" si="2"/>
        <v>Sábado</v>
      </c>
      <c r="D210" s="11"/>
      <c r="E210" s="11"/>
      <c r="F210" s="11"/>
      <c r="G210" s="6" t="str">
        <f t="shared" si="3"/>
        <v/>
      </c>
      <c r="H210" s="11"/>
      <c r="I210" s="6" t="str">
        <f t="shared" si="4"/>
        <v/>
      </c>
      <c r="J210" s="11"/>
      <c r="K210" s="6" t="str">
        <f t="shared" si="5"/>
        <v/>
      </c>
      <c r="L210" s="11"/>
      <c r="M210" s="6" t="str">
        <f t="shared" si="6"/>
        <v/>
      </c>
      <c r="N210" s="11"/>
      <c r="O210" s="6" t="str">
        <f t="shared" si="7"/>
        <v/>
      </c>
      <c r="P210" s="12"/>
      <c r="Q210" s="8" t="str">
        <f>IF(P210="","",P210*'Config  Metas'!$B$10)</f>
        <v/>
      </c>
      <c r="R210" s="4" t="str">
        <f>IF(COUNTA(D210,E210,F210,H210,J210,L210,N210,P210)=0,"",IF(AND(D210&gt;0,E210/D210&lt;'Config  Metas'!$B$8),"🚨 COBERTURA DE LLAMADOS BAJA",IF(G210&lt;'Config  Metas'!$B$2,"🚨 CONTACTO BAJO",IF(I210&lt;'Config  Metas'!$B$3,"🚨 AGENDAMIENTO BAJO",IF(K210&lt;'Config  Metas'!$B$4,"⚠️ SHOW BAJO",IF(M210&lt;'Config  Metas'!$B$5,"🚨 RESERVA BAJA",IF(O210&lt;'Config  Metas'!$B$6,"🚨 CIERRE BAJO",IF(P210&lt;D210*'Config  Metas'!$B$15*'Config  Metas'!$B$9,"🔻 UF BAJO RITMO DINÁMICO","✅ DÍA SOBRE RITMO"))))))))</f>
        <v/>
      </c>
      <c r="S210" s="10"/>
      <c r="T210" s="10"/>
      <c r="U210" s="2"/>
      <c r="V210" s="2"/>
      <c r="W210" s="2"/>
      <c r="X210" s="2"/>
      <c r="Y210" s="2"/>
      <c r="Z210" s="2"/>
    </row>
    <row r="211" ht="15.75" customHeight="1">
      <c r="A211" s="3">
        <v>46376.0</v>
      </c>
      <c r="B211" s="4" t="str">
        <f t="shared" si="1"/>
        <v>Sem 30</v>
      </c>
      <c r="C211" s="4" t="str">
        <f t="shared" si="2"/>
        <v>Domingo</v>
      </c>
      <c r="D211" s="11"/>
      <c r="E211" s="11"/>
      <c r="F211" s="11"/>
      <c r="G211" s="6" t="str">
        <f t="shared" si="3"/>
        <v/>
      </c>
      <c r="H211" s="11"/>
      <c r="I211" s="6" t="str">
        <f t="shared" si="4"/>
        <v/>
      </c>
      <c r="J211" s="11"/>
      <c r="K211" s="6" t="str">
        <f t="shared" si="5"/>
        <v/>
      </c>
      <c r="L211" s="11"/>
      <c r="M211" s="6" t="str">
        <f t="shared" si="6"/>
        <v/>
      </c>
      <c r="N211" s="11"/>
      <c r="O211" s="6" t="str">
        <f t="shared" si="7"/>
        <v/>
      </c>
      <c r="P211" s="12"/>
      <c r="Q211" s="8" t="str">
        <f>IF(P211="","",P211*'Config  Metas'!$B$10)</f>
        <v/>
      </c>
      <c r="R211" s="4" t="str">
        <f>IF(COUNTA(D211,E211,F211,H211,J211,L211,N211,P211)=0,"",IF(AND(D211&gt;0,E211/D211&lt;'Config  Metas'!$B$8),"🚨 COBERTURA DE LLAMADOS BAJA",IF(G211&lt;'Config  Metas'!$B$2,"🚨 CONTACTO BAJO",IF(I211&lt;'Config  Metas'!$B$3,"🚨 AGENDAMIENTO BAJO",IF(K211&lt;'Config  Metas'!$B$4,"⚠️ SHOW BAJO",IF(M211&lt;'Config  Metas'!$B$5,"🚨 RESERVA BAJA",IF(O211&lt;'Config  Metas'!$B$6,"🚨 CIERRE BAJO",IF(P211&lt;D211*'Config  Metas'!$B$15*'Config  Metas'!$B$9,"🔻 UF BAJO RITMO DINÁMICO","✅ DÍA SOBRE RITMO"))))))))</f>
        <v/>
      </c>
      <c r="S211" s="10"/>
      <c r="T211" s="10"/>
      <c r="U211" s="2"/>
      <c r="V211" s="2"/>
      <c r="W211" s="2"/>
      <c r="X211" s="2"/>
      <c r="Y211" s="2"/>
      <c r="Z211" s="2"/>
    </row>
    <row r="212" ht="15.75" customHeight="1">
      <c r="A212" s="3">
        <v>46377.0</v>
      </c>
      <c r="B212" s="4" t="str">
        <f t="shared" si="1"/>
        <v>Sem 31</v>
      </c>
      <c r="C212" s="4" t="str">
        <f t="shared" si="2"/>
        <v>Lunes</v>
      </c>
      <c r="D212" s="11"/>
      <c r="E212" s="11"/>
      <c r="F212" s="11"/>
      <c r="G212" s="6" t="str">
        <f t="shared" si="3"/>
        <v/>
      </c>
      <c r="H212" s="11"/>
      <c r="I212" s="6" t="str">
        <f t="shared" si="4"/>
        <v/>
      </c>
      <c r="J212" s="11"/>
      <c r="K212" s="6" t="str">
        <f t="shared" si="5"/>
        <v/>
      </c>
      <c r="L212" s="11"/>
      <c r="M212" s="6" t="str">
        <f t="shared" si="6"/>
        <v/>
      </c>
      <c r="N212" s="11"/>
      <c r="O212" s="6" t="str">
        <f t="shared" si="7"/>
        <v/>
      </c>
      <c r="P212" s="12"/>
      <c r="Q212" s="8" t="str">
        <f>IF(P212="","",P212*'Config  Metas'!$B$10)</f>
        <v/>
      </c>
      <c r="R212" s="4" t="str">
        <f>IF(COUNTA(D212,E212,F212,H212,J212,L212,N212,P212)=0,"",IF(AND(D212&gt;0,E212/D212&lt;'Config  Metas'!$B$8),"🚨 COBERTURA DE LLAMADOS BAJA",IF(G212&lt;'Config  Metas'!$B$2,"🚨 CONTACTO BAJO",IF(I212&lt;'Config  Metas'!$B$3,"🚨 AGENDAMIENTO BAJO",IF(K212&lt;'Config  Metas'!$B$4,"⚠️ SHOW BAJO",IF(M212&lt;'Config  Metas'!$B$5,"🚨 RESERVA BAJA",IF(O212&lt;'Config  Metas'!$B$6,"🚨 CIERRE BAJO",IF(P212&lt;D212*'Config  Metas'!$B$15*'Config  Metas'!$B$9,"🔻 UF BAJO RITMO DINÁMICO","✅ DÍA SOBRE RITMO"))))))))</f>
        <v/>
      </c>
      <c r="S212" s="10"/>
      <c r="T212" s="10"/>
      <c r="U212" s="2"/>
      <c r="V212" s="2"/>
      <c r="W212" s="2"/>
      <c r="X212" s="2"/>
      <c r="Y212" s="2"/>
      <c r="Z212" s="2"/>
    </row>
    <row r="213" ht="15.75" customHeight="1">
      <c r="A213" s="3">
        <v>46378.0</v>
      </c>
      <c r="B213" s="4" t="str">
        <f t="shared" si="1"/>
        <v>Sem 31</v>
      </c>
      <c r="C213" s="4" t="str">
        <f t="shared" si="2"/>
        <v>Martes</v>
      </c>
      <c r="D213" s="11"/>
      <c r="E213" s="11"/>
      <c r="F213" s="11"/>
      <c r="G213" s="6" t="str">
        <f t="shared" si="3"/>
        <v/>
      </c>
      <c r="H213" s="11"/>
      <c r="I213" s="6" t="str">
        <f t="shared" si="4"/>
        <v/>
      </c>
      <c r="J213" s="11"/>
      <c r="K213" s="6" t="str">
        <f t="shared" si="5"/>
        <v/>
      </c>
      <c r="L213" s="11"/>
      <c r="M213" s="6" t="str">
        <f t="shared" si="6"/>
        <v/>
      </c>
      <c r="N213" s="11"/>
      <c r="O213" s="6" t="str">
        <f t="shared" si="7"/>
        <v/>
      </c>
      <c r="P213" s="12"/>
      <c r="Q213" s="8" t="str">
        <f>IF(P213="","",P213*'Config  Metas'!$B$10)</f>
        <v/>
      </c>
      <c r="R213" s="4" t="str">
        <f>IF(COUNTA(D213,E213,F213,H213,J213,L213,N213,P213)=0,"",IF(AND(D213&gt;0,E213/D213&lt;'Config  Metas'!$B$8),"🚨 COBERTURA DE LLAMADOS BAJA",IF(G213&lt;'Config  Metas'!$B$2,"🚨 CONTACTO BAJO",IF(I213&lt;'Config  Metas'!$B$3,"🚨 AGENDAMIENTO BAJO",IF(K213&lt;'Config  Metas'!$B$4,"⚠️ SHOW BAJO",IF(M213&lt;'Config  Metas'!$B$5,"🚨 RESERVA BAJA",IF(O213&lt;'Config  Metas'!$B$6,"🚨 CIERRE BAJO",IF(P213&lt;D213*'Config  Metas'!$B$15*'Config  Metas'!$B$9,"🔻 UF BAJO RITMO DINÁMICO","✅ DÍA SOBRE RITMO"))))))))</f>
        <v/>
      </c>
      <c r="S213" s="10"/>
      <c r="T213" s="10"/>
      <c r="U213" s="2"/>
      <c r="V213" s="2"/>
      <c r="W213" s="2"/>
      <c r="X213" s="2"/>
      <c r="Y213" s="2"/>
      <c r="Z213" s="2"/>
    </row>
    <row r="214" ht="15.75" customHeight="1">
      <c r="A214" s="3">
        <v>46379.0</v>
      </c>
      <c r="B214" s="4" t="str">
        <f t="shared" si="1"/>
        <v>Sem 31</v>
      </c>
      <c r="C214" s="4" t="str">
        <f t="shared" si="2"/>
        <v>Miércoles</v>
      </c>
      <c r="D214" s="11"/>
      <c r="E214" s="11"/>
      <c r="F214" s="11"/>
      <c r="G214" s="6" t="str">
        <f t="shared" si="3"/>
        <v/>
      </c>
      <c r="H214" s="11"/>
      <c r="I214" s="6" t="str">
        <f t="shared" si="4"/>
        <v/>
      </c>
      <c r="J214" s="11"/>
      <c r="K214" s="6" t="str">
        <f t="shared" si="5"/>
        <v/>
      </c>
      <c r="L214" s="11"/>
      <c r="M214" s="6" t="str">
        <f t="shared" si="6"/>
        <v/>
      </c>
      <c r="N214" s="11"/>
      <c r="O214" s="6" t="str">
        <f t="shared" si="7"/>
        <v/>
      </c>
      <c r="P214" s="12"/>
      <c r="Q214" s="8" t="str">
        <f>IF(P214="","",P214*'Config  Metas'!$B$10)</f>
        <v/>
      </c>
      <c r="R214" s="4" t="str">
        <f>IF(COUNTA(D214,E214,F214,H214,J214,L214,N214,P214)=0,"",IF(AND(D214&gt;0,E214/D214&lt;'Config  Metas'!$B$8),"🚨 COBERTURA DE LLAMADOS BAJA",IF(G214&lt;'Config  Metas'!$B$2,"🚨 CONTACTO BAJO",IF(I214&lt;'Config  Metas'!$B$3,"🚨 AGENDAMIENTO BAJO",IF(K214&lt;'Config  Metas'!$B$4,"⚠️ SHOW BAJO",IF(M214&lt;'Config  Metas'!$B$5,"🚨 RESERVA BAJA",IF(O214&lt;'Config  Metas'!$B$6,"🚨 CIERRE BAJO",IF(P214&lt;D214*'Config  Metas'!$B$15*'Config  Metas'!$B$9,"🔻 UF BAJO RITMO DINÁMICO","✅ DÍA SOBRE RITMO"))))))))</f>
        <v/>
      </c>
      <c r="S214" s="10"/>
      <c r="T214" s="10"/>
      <c r="U214" s="2"/>
      <c r="V214" s="2"/>
      <c r="W214" s="2"/>
      <c r="X214" s="2"/>
      <c r="Y214" s="2"/>
      <c r="Z214" s="2"/>
    </row>
    <row r="215" ht="15.75" customHeight="1">
      <c r="A215" s="3">
        <v>46380.0</v>
      </c>
      <c r="B215" s="4" t="str">
        <f t="shared" si="1"/>
        <v>Sem 31</v>
      </c>
      <c r="C215" s="4" t="str">
        <f t="shared" si="2"/>
        <v>Jueves</v>
      </c>
      <c r="D215" s="11"/>
      <c r="E215" s="11"/>
      <c r="F215" s="11"/>
      <c r="G215" s="6" t="str">
        <f t="shared" si="3"/>
        <v/>
      </c>
      <c r="H215" s="11"/>
      <c r="I215" s="6" t="str">
        <f t="shared" si="4"/>
        <v/>
      </c>
      <c r="J215" s="11"/>
      <c r="K215" s="6" t="str">
        <f t="shared" si="5"/>
        <v/>
      </c>
      <c r="L215" s="11"/>
      <c r="M215" s="6" t="str">
        <f t="shared" si="6"/>
        <v/>
      </c>
      <c r="N215" s="11"/>
      <c r="O215" s="6" t="str">
        <f t="shared" si="7"/>
        <v/>
      </c>
      <c r="P215" s="12"/>
      <c r="Q215" s="8" t="str">
        <f>IF(P215="","",P215*'Config  Metas'!$B$10)</f>
        <v/>
      </c>
      <c r="R215" s="4" t="str">
        <f>IF(COUNTA(D215,E215,F215,H215,J215,L215,N215,P215)=0,"",IF(AND(D215&gt;0,E215/D215&lt;'Config  Metas'!$B$8),"🚨 COBERTURA DE LLAMADOS BAJA",IF(G215&lt;'Config  Metas'!$B$2,"🚨 CONTACTO BAJO",IF(I215&lt;'Config  Metas'!$B$3,"🚨 AGENDAMIENTO BAJO",IF(K215&lt;'Config  Metas'!$B$4,"⚠️ SHOW BAJO",IF(M215&lt;'Config  Metas'!$B$5,"🚨 RESERVA BAJA",IF(O215&lt;'Config  Metas'!$B$6,"🚨 CIERRE BAJO",IF(P215&lt;D215*'Config  Metas'!$B$15*'Config  Metas'!$B$9,"🔻 UF BAJO RITMO DINÁMICO","✅ DÍA SOBRE RITMO"))))))))</f>
        <v/>
      </c>
      <c r="S215" s="10"/>
      <c r="T215" s="10"/>
      <c r="U215" s="2"/>
      <c r="V215" s="2"/>
      <c r="W215" s="2"/>
      <c r="X215" s="2"/>
      <c r="Y215" s="2"/>
      <c r="Z215" s="2"/>
    </row>
    <row r="216" ht="15.75" customHeight="1">
      <c r="A216" s="3">
        <v>46381.0</v>
      </c>
      <c r="B216" s="4" t="str">
        <f t="shared" si="1"/>
        <v>Sem 31</v>
      </c>
      <c r="C216" s="4" t="str">
        <f t="shared" si="2"/>
        <v>Viernes</v>
      </c>
      <c r="D216" s="11"/>
      <c r="E216" s="11"/>
      <c r="F216" s="11"/>
      <c r="G216" s="6" t="str">
        <f t="shared" si="3"/>
        <v/>
      </c>
      <c r="H216" s="11"/>
      <c r="I216" s="6" t="str">
        <f t="shared" si="4"/>
        <v/>
      </c>
      <c r="J216" s="11"/>
      <c r="K216" s="6" t="str">
        <f t="shared" si="5"/>
        <v/>
      </c>
      <c r="L216" s="11"/>
      <c r="M216" s="6" t="str">
        <f t="shared" si="6"/>
        <v/>
      </c>
      <c r="N216" s="11"/>
      <c r="O216" s="6" t="str">
        <f t="shared" si="7"/>
        <v/>
      </c>
      <c r="P216" s="12"/>
      <c r="Q216" s="8" t="str">
        <f>IF(P216="","",P216*'Config  Metas'!$B$10)</f>
        <v/>
      </c>
      <c r="R216" s="4" t="str">
        <f>IF(COUNTA(D216,E216,F216,H216,J216,L216,N216,P216)=0,"",IF(AND(D216&gt;0,E216/D216&lt;'Config  Metas'!$B$8),"🚨 COBERTURA DE LLAMADOS BAJA",IF(G216&lt;'Config  Metas'!$B$2,"🚨 CONTACTO BAJO",IF(I216&lt;'Config  Metas'!$B$3,"🚨 AGENDAMIENTO BAJO",IF(K216&lt;'Config  Metas'!$B$4,"⚠️ SHOW BAJO",IF(M216&lt;'Config  Metas'!$B$5,"🚨 RESERVA BAJA",IF(O216&lt;'Config  Metas'!$B$6,"🚨 CIERRE BAJO",IF(P216&lt;D216*'Config  Metas'!$B$15*'Config  Metas'!$B$9,"🔻 UF BAJO RITMO DINÁMICO","✅ DÍA SOBRE RITMO"))))))))</f>
        <v/>
      </c>
      <c r="S216" s="10"/>
      <c r="T216" s="10"/>
      <c r="U216" s="2"/>
      <c r="V216" s="2"/>
      <c r="W216" s="2"/>
      <c r="X216" s="2"/>
      <c r="Y216" s="2"/>
      <c r="Z216" s="2"/>
    </row>
    <row r="217" ht="15.75" customHeight="1">
      <c r="A217" s="3">
        <v>46382.0</v>
      </c>
      <c r="B217" s="4" t="str">
        <f t="shared" si="1"/>
        <v>Sem 31</v>
      </c>
      <c r="C217" s="4" t="str">
        <f t="shared" si="2"/>
        <v>Sábado</v>
      </c>
      <c r="D217" s="11"/>
      <c r="E217" s="11"/>
      <c r="F217" s="11"/>
      <c r="G217" s="6" t="str">
        <f t="shared" si="3"/>
        <v/>
      </c>
      <c r="H217" s="11"/>
      <c r="I217" s="6" t="str">
        <f t="shared" si="4"/>
        <v/>
      </c>
      <c r="J217" s="11"/>
      <c r="K217" s="6" t="str">
        <f t="shared" si="5"/>
        <v/>
      </c>
      <c r="L217" s="11"/>
      <c r="M217" s="6" t="str">
        <f t="shared" si="6"/>
        <v/>
      </c>
      <c r="N217" s="11"/>
      <c r="O217" s="6" t="str">
        <f t="shared" si="7"/>
        <v/>
      </c>
      <c r="P217" s="12"/>
      <c r="Q217" s="8" t="str">
        <f>IF(P217="","",P217*'Config  Metas'!$B$10)</f>
        <v/>
      </c>
      <c r="R217" s="4" t="str">
        <f>IF(COUNTA(D217,E217,F217,H217,J217,L217,N217,P217)=0,"",IF(AND(D217&gt;0,E217/D217&lt;'Config  Metas'!$B$8),"🚨 COBERTURA DE LLAMADOS BAJA",IF(G217&lt;'Config  Metas'!$B$2,"🚨 CONTACTO BAJO",IF(I217&lt;'Config  Metas'!$B$3,"🚨 AGENDAMIENTO BAJO",IF(K217&lt;'Config  Metas'!$B$4,"⚠️ SHOW BAJO",IF(M217&lt;'Config  Metas'!$B$5,"🚨 RESERVA BAJA",IF(O217&lt;'Config  Metas'!$B$6,"🚨 CIERRE BAJO",IF(P217&lt;D217*'Config  Metas'!$B$15*'Config  Metas'!$B$9,"🔻 UF BAJO RITMO DINÁMICO","✅ DÍA SOBRE RITMO"))))))))</f>
        <v/>
      </c>
      <c r="S217" s="10"/>
      <c r="T217" s="10"/>
      <c r="U217" s="2"/>
      <c r="V217" s="2"/>
      <c r="W217" s="2"/>
      <c r="X217" s="2"/>
      <c r="Y217" s="2"/>
      <c r="Z217" s="2"/>
    </row>
    <row r="218" ht="15.75" customHeight="1">
      <c r="A218" s="3">
        <v>46383.0</v>
      </c>
      <c r="B218" s="4" t="str">
        <f t="shared" si="1"/>
        <v>Sem 31</v>
      </c>
      <c r="C218" s="4" t="str">
        <f t="shared" si="2"/>
        <v>Domingo</v>
      </c>
      <c r="D218" s="11"/>
      <c r="E218" s="11"/>
      <c r="F218" s="11"/>
      <c r="G218" s="6" t="str">
        <f t="shared" si="3"/>
        <v/>
      </c>
      <c r="H218" s="11"/>
      <c r="I218" s="6" t="str">
        <f t="shared" si="4"/>
        <v/>
      </c>
      <c r="J218" s="11"/>
      <c r="K218" s="6" t="str">
        <f t="shared" si="5"/>
        <v/>
      </c>
      <c r="L218" s="11"/>
      <c r="M218" s="6" t="str">
        <f t="shared" si="6"/>
        <v/>
      </c>
      <c r="N218" s="11"/>
      <c r="O218" s="6" t="str">
        <f t="shared" si="7"/>
        <v/>
      </c>
      <c r="P218" s="12"/>
      <c r="Q218" s="8" t="str">
        <f>IF(P218="","",P218*'Config  Metas'!$B$10)</f>
        <v/>
      </c>
      <c r="R218" s="4" t="str">
        <f>IF(COUNTA(D218,E218,F218,H218,J218,L218,N218,P218)=0,"",IF(AND(D218&gt;0,E218/D218&lt;'Config  Metas'!$B$8),"🚨 COBERTURA DE LLAMADOS BAJA",IF(G218&lt;'Config  Metas'!$B$2,"🚨 CONTACTO BAJO",IF(I218&lt;'Config  Metas'!$B$3,"🚨 AGENDAMIENTO BAJO",IF(K218&lt;'Config  Metas'!$B$4,"⚠️ SHOW BAJO",IF(M218&lt;'Config  Metas'!$B$5,"🚨 RESERVA BAJA",IF(O218&lt;'Config  Metas'!$B$6,"🚨 CIERRE BAJO",IF(P218&lt;D218*'Config  Metas'!$B$15*'Config  Metas'!$B$9,"🔻 UF BAJO RITMO DINÁMICO","✅ DÍA SOBRE RITMO"))))))))</f>
        <v/>
      </c>
      <c r="S218" s="10"/>
      <c r="T218" s="10"/>
      <c r="U218" s="2"/>
      <c r="V218" s="2"/>
      <c r="W218" s="2"/>
      <c r="X218" s="2"/>
      <c r="Y218" s="2"/>
      <c r="Z218" s="2"/>
    </row>
    <row r="219" ht="15.75" customHeight="1">
      <c r="A219" s="3">
        <v>46384.0</v>
      </c>
      <c r="B219" s="4" t="str">
        <f t="shared" si="1"/>
        <v>Sem 32</v>
      </c>
      <c r="C219" s="4" t="str">
        <f t="shared" si="2"/>
        <v>Lunes</v>
      </c>
      <c r="D219" s="11"/>
      <c r="E219" s="11"/>
      <c r="F219" s="11"/>
      <c r="G219" s="6" t="str">
        <f t="shared" si="3"/>
        <v/>
      </c>
      <c r="H219" s="11"/>
      <c r="I219" s="6" t="str">
        <f t="shared" si="4"/>
        <v/>
      </c>
      <c r="J219" s="11"/>
      <c r="K219" s="6" t="str">
        <f t="shared" si="5"/>
        <v/>
      </c>
      <c r="L219" s="11"/>
      <c r="M219" s="6" t="str">
        <f t="shared" si="6"/>
        <v/>
      </c>
      <c r="N219" s="11"/>
      <c r="O219" s="6" t="str">
        <f t="shared" si="7"/>
        <v/>
      </c>
      <c r="P219" s="12"/>
      <c r="Q219" s="8" t="str">
        <f>IF(P219="","",P219*'Config  Metas'!$B$10)</f>
        <v/>
      </c>
      <c r="R219" s="4" t="str">
        <f>IF(COUNTA(D219,E219,F219,H219,J219,L219,N219,P219)=0,"",IF(AND(D219&gt;0,E219/D219&lt;'Config  Metas'!$B$8),"🚨 COBERTURA DE LLAMADOS BAJA",IF(G219&lt;'Config  Metas'!$B$2,"🚨 CONTACTO BAJO",IF(I219&lt;'Config  Metas'!$B$3,"🚨 AGENDAMIENTO BAJO",IF(K219&lt;'Config  Metas'!$B$4,"⚠️ SHOW BAJO",IF(M219&lt;'Config  Metas'!$B$5,"🚨 RESERVA BAJA",IF(O219&lt;'Config  Metas'!$B$6,"🚨 CIERRE BAJO",IF(P219&lt;D219*'Config  Metas'!$B$15*'Config  Metas'!$B$9,"🔻 UF BAJO RITMO DINÁMICO","✅ DÍA SOBRE RITMO"))))))))</f>
        <v/>
      </c>
      <c r="S219" s="10"/>
      <c r="T219" s="10"/>
      <c r="U219" s="2"/>
      <c r="V219" s="2"/>
      <c r="W219" s="2"/>
      <c r="X219" s="2"/>
      <c r="Y219" s="2"/>
      <c r="Z219" s="2"/>
    </row>
    <row r="220" ht="15.75" customHeight="1">
      <c r="A220" s="3">
        <v>46385.0</v>
      </c>
      <c r="B220" s="4" t="str">
        <f t="shared" si="1"/>
        <v>Sem 32</v>
      </c>
      <c r="C220" s="4" t="str">
        <f t="shared" si="2"/>
        <v>Martes</v>
      </c>
      <c r="D220" s="11"/>
      <c r="E220" s="11"/>
      <c r="F220" s="11"/>
      <c r="G220" s="6" t="str">
        <f t="shared" si="3"/>
        <v/>
      </c>
      <c r="H220" s="11"/>
      <c r="I220" s="6" t="str">
        <f t="shared" si="4"/>
        <v/>
      </c>
      <c r="J220" s="11"/>
      <c r="K220" s="6" t="str">
        <f t="shared" si="5"/>
        <v/>
      </c>
      <c r="L220" s="11"/>
      <c r="M220" s="6" t="str">
        <f t="shared" si="6"/>
        <v/>
      </c>
      <c r="N220" s="11"/>
      <c r="O220" s="6" t="str">
        <f t="shared" si="7"/>
        <v/>
      </c>
      <c r="P220" s="12"/>
      <c r="Q220" s="8" t="str">
        <f>IF(P220="","",P220*'Config  Metas'!$B$10)</f>
        <v/>
      </c>
      <c r="R220" s="4" t="str">
        <f>IF(COUNTA(D220,E220,F220,H220,J220,L220,N220,P220)=0,"",IF(AND(D220&gt;0,E220/D220&lt;'Config  Metas'!$B$8),"🚨 COBERTURA DE LLAMADOS BAJA",IF(G220&lt;'Config  Metas'!$B$2,"🚨 CONTACTO BAJO",IF(I220&lt;'Config  Metas'!$B$3,"🚨 AGENDAMIENTO BAJO",IF(K220&lt;'Config  Metas'!$B$4,"⚠️ SHOW BAJO",IF(M220&lt;'Config  Metas'!$B$5,"🚨 RESERVA BAJA",IF(O220&lt;'Config  Metas'!$B$6,"🚨 CIERRE BAJO",IF(P220&lt;D220*'Config  Metas'!$B$15*'Config  Metas'!$B$9,"🔻 UF BAJO RITMO DINÁMICO","✅ DÍA SOBRE RITMO"))))))))</f>
        <v/>
      </c>
      <c r="S220" s="10"/>
      <c r="T220" s="10"/>
      <c r="U220" s="2"/>
      <c r="V220" s="2"/>
      <c r="W220" s="2"/>
      <c r="X220" s="2"/>
      <c r="Y220" s="2"/>
      <c r="Z220" s="2"/>
    </row>
    <row r="221" ht="15.75" customHeight="1">
      <c r="A221" s="3">
        <v>46386.0</v>
      </c>
      <c r="B221" s="4" t="str">
        <f t="shared" si="1"/>
        <v>Sem 32</v>
      </c>
      <c r="C221" s="4" t="str">
        <f t="shared" si="2"/>
        <v>Miércoles</v>
      </c>
      <c r="D221" s="11"/>
      <c r="E221" s="11"/>
      <c r="F221" s="11"/>
      <c r="G221" s="6" t="str">
        <f t="shared" si="3"/>
        <v/>
      </c>
      <c r="H221" s="11"/>
      <c r="I221" s="6" t="str">
        <f t="shared" si="4"/>
        <v/>
      </c>
      <c r="J221" s="11"/>
      <c r="K221" s="6" t="str">
        <f t="shared" si="5"/>
        <v/>
      </c>
      <c r="L221" s="11"/>
      <c r="M221" s="6" t="str">
        <f t="shared" si="6"/>
        <v/>
      </c>
      <c r="N221" s="11"/>
      <c r="O221" s="6" t="str">
        <f t="shared" si="7"/>
        <v/>
      </c>
      <c r="P221" s="12"/>
      <c r="Q221" s="8" t="str">
        <f>IF(P221="","",P221*'Config  Metas'!$B$10)</f>
        <v/>
      </c>
      <c r="R221" s="4" t="str">
        <f>IF(COUNTA(D221,E221,F221,H221,J221,L221,N221,P221)=0,"",IF(AND(D221&gt;0,E221/D221&lt;'Config  Metas'!$B$8),"🚨 COBERTURA DE LLAMADOS BAJA",IF(G221&lt;'Config  Metas'!$B$2,"🚨 CONTACTO BAJO",IF(I221&lt;'Config  Metas'!$B$3,"🚨 AGENDAMIENTO BAJO",IF(K221&lt;'Config  Metas'!$B$4,"⚠️ SHOW BAJO",IF(M221&lt;'Config  Metas'!$B$5,"🚨 RESERVA BAJA",IF(O221&lt;'Config  Metas'!$B$6,"🚨 CIERRE BAJO",IF(P221&lt;D221*'Config  Metas'!$B$15*'Config  Metas'!$B$9,"🔻 UF BAJO RITMO DINÁMICO","✅ DÍA SOBRE RITMO"))))))))</f>
        <v/>
      </c>
      <c r="S221" s="10"/>
      <c r="T221" s="10"/>
      <c r="U221" s="2"/>
      <c r="V221" s="2"/>
      <c r="W221" s="2"/>
      <c r="X221" s="2"/>
      <c r="Y221" s="2"/>
      <c r="Z221" s="2"/>
    </row>
    <row r="222" ht="15.75" customHeight="1">
      <c r="A222" s="3">
        <v>46387.0</v>
      </c>
      <c r="B222" s="4" t="str">
        <f t="shared" si="1"/>
        <v>Sem 32</v>
      </c>
      <c r="C222" s="4" t="str">
        <f t="shared" si="2"/>
        <v>Jueves</v>
      </c>
      <c r="D222" s="11"/>
      <c r="E222" s="11"/>
      <c r="F222" s="11"/>
      <c r="G222" s="6" t="str">
        <f t="shared" si="3"/>
        <v/>
      </c>
      <c r="H222" s="11"/>
      <c r="I222" s="6" t="str">
        <f t="shared" si="4"/>
        <v/>
      </c>
      <c r="J222" s="11"/>
      <c r="K222" s="6" t="str">
        <f t="shared" si="5"/>
        <v/>
      </c>
      <c r="L222" s="11"/>
      <c r="M222" s="6" t="str">
        <f t="shared" si="6"/>
        <v/>
      </c>
      <c r="N222" s="11"/>
      <c r="O222" s="6" t="str">
        <f t="shared" si="7"/>
        <v/>
      </c>
      <c r="P222" s="12"/>
      <c r="Q222" s="8" t="str">
        <f>IF(P222="","",P222*'Config  Metas'!$B$10)</f>
        <v/>
      </c>
      <c r="R222" s="4" t="str">
        <f>IF(COUNTA(D222,E222,F222,H222,J222,L222,N222,P222)=0,"",IF(AND(D222&gt;0,E222/D222&lt;'Config  Metas'!$B$8),"🚨 COBERTURA DE LLAMADOS BAJA",IF(G222&lt;'Config  Metas'!$B$2,"🚨 CONTACTO BAJO",IF(I222&lt;'Config  Metas'!$B$3,"🚨 AGENDAMIENTO BAJO",IF(K222&lt;'Config  Metas'!$B$4,"⚠️ SHOW BAJO",IF(M222&lt;'Config  Metas'!$B$5,"🚨 RESERVA BAJA",IF(O222&lt;'Config  Metas'!$B$6,"🚨 CIERRE BAJO",IF(P222&lt;D222*'Config  Metas'!$B$15*'Config  Metas'!$B$9,"🔻 UF BAJO RITMO DINÁMICO","✅ DÍA SOBRE RITMO"))))))))</f>
        <v/>
      </c>
      <c r="S222" s="10"/>
      <c r="T222" s="10"/>
      <c r="U222" s="2"/>
      <c r="V222" s="2"/>
      <c r="W222" s="2"/>
      <c r="X222" s="2"/>
      <c r="Y222" s="2"/>
      <c r="Z222" s="2"/>
    </row>
    <row r="223" ht="15.75" customHeight="1">
      <c r="A223" s="3">
        <v>46388.0</v>
      </c>
      <c r="B223" s="4" t="str">
        <f t="shared" si="1"/>
        <v>Sem 32</v>
      </c>
      <c r="C223" s="4" t="str">
        <f t="shared" si="2"/>
        <v>Viernes</v>
      </c>
      <c r="D223" s="11"/>
      <c r="E223" s="11"/>
      <c r="F223" s="11"/>
      <c r="G223" s="6" t="str">
        <f t="shared" si="3"/>
        <v/>
      </c>
      <c r="H223" s="11"/>
      <c r="I223" s="6" t="str">
        <f t="shared" si="4"/>
        <v/>
      </c>
      <c r="J223" s="11"/>
      <c r="K223" s="6" t="str">
        <f t="shared" si="5"/>
        <v/>
      </c>
      <c r="L223" s="11"/>
      <c r="M223" s="6" t="str">
        <f t="shared" si="6"/>
        <v/>
      </c>
      <c r="N223" s="11"/>
      <c r="O223" s="6" t="str">
        <f t="shared" si="7"/>
        <v/>
      </c>
      <c r="P223" s="12"/>
      <c r="Q223" s="8" t="str">
        <f>IF(P223="","",P223*'Config  Metas'!$B$10)</f>
        <v/>
      </c>
      <c r="R223" s="4" t="str">
        <f>IF(COUNTA(D223,E223,F223,H223,J223,L223,N223,P223)=0,"",IF(AND(D223&gt;0,E223/D223&lt;'Config  Metas'!$B$8),"🚨 COBERTURA DE LLAMADOS BAJA",IF(G223&lt;'Config  Metas'!$B$2,"🚨 CONTACTO BAJO",IF(I223&lt;'Config  Metas'!$B$3,"🚨 AGENDAMIENTO BAJO",IF(K223&lt;'Config  Metas'!$B$4,"⚠️ SHOW BAJO",IF(M223&lt;'Config  Metas'!$B$5,"🚨 RESERVA BAJA",IF(O223&lt;'Config  Metas'!$B$6,"🚨 CIERRE BAJO",IF(P223&lt;D223*'Config  Metas'!$B$15*'Config  Metas'!$B$9,"🔻 UF BAJO RITMO DINÁMICO","✅ DÍA SOBRE RITMO"))))))))</f>
        <v/>
      </c>
      <c r="S223" s="10"/>
      <c r="T223" s="10"/>
      <c r="U223" s="2"/>
      <c r="V223" s="2"/>
      <c r="W223" s="2"/>
      <c r="X223" s="2"/>
      <c r="Y223" s="2"/>
      <c r="Z223" s="2"/>
    </row>
    <row r="224" ht="15.75" customHeight="1">
      <c r="A224" s="3">
        <v>46389.0</v>
      </c>
      <c r="B224" s="4" t="str">
        <f t="shared" si="1"/>
        <v>Sem 32</v>
      </c>
      <c r="C224" s="4" t="str">
        <f t="shared" si="2"/>
        <v>Sábado</v>
      </c>
      <c r="D224" s="11"/>
      <c r="E224" s="11"/>
      <c r="F224" s="11"/>
      <c r="G224" s="6" t="str">
        <f t="shared" si="3"/>
        <v/>
      </c>
      <c r="H224" s="11"/>
      <c r="I224" s="6" t="str">
        <f t="shared" si="4"/>
        <v/>
      </c>
      <c r="J224" s="11"/>
      <c r="K224" s="6" t="str">
        <f t="shared" si="5"/>
        <v/>
      </c>
      <c r="L224" s="11"/>
      <c r="M224" s="6" t="str">
        <f t="shared" si="6"/>
        <v/>
      </c>
      <c r="N224" s="11"/>
      <c r="O224" s="6" t="str">
        <f t="shared" si="7"/>
        <v/>
      </c>
      <c r="P224" s="12"/>
      <c r="Q224" s="8" t="str">
        <f>IF(P224="","",P224*'Config  Metas'!$B$10)</f>
        <v/>
      </c>
      <c r="R224" s="4" t="str">
        <f>IF(COUNTA(D224,E224,F224,H224,J224,L224,N224,P224)=0,"",IF(AND(D224&gt;0,E224/D224&lt;'Config  Metas'!$B$8),"🚨 COBERTURA DE LLAMADOS BAJA",IF(G224&lt;'Config  Metas'!$B$2,"🚨 CONTACTO BAJO",IF(I224&lt;'Config  Metas'!$B$3,"🚨 AGENDAMIENTO BAJO",IF(K224&lt;'Config  Metas'!$B$4,"⚠️ SHOW BAJO",IF(M224&lt;'Config  Metas'!$B$5,"🚨 RESERVA BAJA",IF(O224&lt;'Config  Metas'!$B$6,"🚨 CIERRE BAJO",IF(P224&lt;D224*'Config  Metas'!$B$15*'Config  Metas'!$B$9,"🔻 UF BAJO RITMO DINÁMICO","✅ DÍA SOBRE RITMO"))))))))</f>
        <v/>
      </c>
      <c r="S224" s="10"/>
      <c r="T224" s="10"/>
      <c r="U224" s="2"/>
      <c r="V224" s="2"/>
      <c r="W224" s="2"/>
      <c r="X224" s="2"/>
      <c r="Y224" s="2"/>
      <c r="Z224" s="2"/>
    </row>
    <row r="225" ht="15.75" customHeight="1">
      <c r="A225" s="3">
        <v>46390.0</v>
      </c>
      <c r="B225" s="4" t="str">
        <f t="shared" si="1"/>
        <v>Sem 32</v>
      </c>
      <c r="C225" s="4" t="str">
        <f t="shared" si="2"/>
        <v>Domingo</v>
      </c>
      <c r="D225" s="11"/>
      <c r="E225" s="11"/>
      <c r="F225" s="11"/>
      <c r="G225" s="6" t="str">
        <f t="shared" si="3"/>
        <v/>
      </c>
      <c r="H225" s="11"/>
      <c r="I225" s="6" t="str">
        <f t="shared" si="4"/>
        <v/>
      </c>
      <c r="J225" s="11"/>
      <c r="K225" s="6" t="str">
        <f t="shared" si="5"/>
        <v/>
      </c>
      <c r="L225" s="11"/>
      <c r="M225" s="6" t="str">
        <f t="shared" si="6"/>
        <v/>
      </c>
      <c r="N225" s="11"/>
      <c r="O225" s="6" t="str">
        <f t="shared" si="7"/>
        <v/>
      </c>
      <c r="P225" s="12"/>
      <c r="Q225" s="8" t="str">
        <f>IF(P225="","",P225*'Config  Metas'!$B$10)</f>
        <v/>
      </c>
      <c r="R225" s="4" t="str">
        <f>IF(COUNTA(D225,E225,F225,H225,J225,L225,N225,P225)=0,"",IF(AND(D225&gt;0,E225/D225&lt;'Config  Metas'!$B$8),"🚨 COBERTURA DE LLAMADOS BAJA",IF(G225&lt;'Config  Metas'!$B$2,"🚨 CONTACTO BAJO",IF(I225&lt;'Config  Metas'!$B$3,"🚨 AGENDAMIENTO BAJO",IF(K225&lt;'Config  Metas'!$B$4,"⚠️ SHOW BAJO",IF(M225&lt;'Config  Metas'!$B$5,"🚨 RESERVA BAJA",IF(O225&lt;'Config  Metas'!$B$6,"🚨 CIERRE BAJO",IF(P225&lt;D225*'Config  Metas'!$B$15*'Config  Metas'!$B$9,"🔻 UF BAJO RITMO DINÁMICO","✅ DÍA SOBRE RITMO"))))))))</f>
        <v/>
      </c>
      <c r="S225" s="10"/>
      <c r="T225" s="10"/>
      <c r="U225" s="2"/>
      <c r="V225" s="2"/>
      <c r="W225" s="2"/>
      <c r="X225" s="2"/>
      <c r="Y225" s="2"/>
      <c r="Z225" s="2"/>
    </row>
    <row r="226" ht="15.75" customHeight="1">
      <c r="A226" s="3">
        <v>46391.0</v>
      </c>
      <c r="B226" s="4" t="str">
        <f t="shared" si="1"/>
        <v>Sem 33</v>
      </c>
      <c r="C226" s="4" t="str">
        <f t="shared" si="2"/>
        <v>Lunes</v>
      </c>
      <c r="D226" s="11"/>
      <c r="E226" s="11"/>
      <c r="F226" s="11"/>
      <c r="G226" s="6" t="str">
        <f t="shared" si="3"/>
        <v/>
      </c>
      <c r="H226" s="11"/>
      <c r="I226" s="6" t="str">
        <f t="shared" si="4"/>
        <v/>
      </c>
      <c r="J226" s="11"/>
      <c r="K226" s="6" t="str">
        <f t="shared" si="5"/>
        <v/>
      </c>
      <c r="L226" s="11"/>
      <c r="M226" s="6" t="str">
        <f t="shared" si="6"/>
        <v/>
      </c>
      <c r="N226" s="11"/>
      <c r="O226" s="6" t="str">
        <f t="shared" si="7"/>
        <v/>
      </c>
      <c r="P226" s="12"/>
      <c r="Q226" s="8" t="str">
        <f>IF(P226="","",P226*'Config  Metas'!$B$10)</f>
        <v/>
      </c>
      <c r="R226" s="4" t="str">
        <f>IF(COUNTA(D226,E226,F226,H226,J226,L226,N226,P226)=0,"",IF(AND(D226&gt;0,E226/D226&lt;'Config  Metas'!$B$8),"🚨 COBERTURA DE LLAMADOS BAJA",IF(G226&lt;'Config  Metas'!$B$2,"🚨 CONTACTO BAJO",IF(I226&lt;'Config  Metas'!$B$3,"🚨 AGENDAMIENTO BAJO",IF(K226&lt;'Config  Metas'!$B$4,"⚠️ SHOW BAJO",IF(M226&lt;'Config  Metas'!$B$5,"🚨 RESERVA BAJA",IF(O226&lt;'Config  Metas'!$B$6,"🚨 CIERRE BAJO",IF(P226&lt;D226*'Config  Metas'!$B$15*'Config  Metas'!$B$9,"🔻 UF BAJO RITMO DINÁMICO","✅ DÍA SOBRE RITMO"))))))))</f>
        <v/>
      </c>
      <c r="S226" s="10"/>
      <c r="T226" s="10"/>
      <c r="U226" s="2"/>
      <c r="V226" s="2"/>
      <c r="W226" s="2"/>
      <c r="X226" s="2"/>
      <c r="Y226" s="2"/>
      <c r="Z226" s="2"/>
    </row>
    <row r="227" ht="15.75" customHeight="1">
      <c r="A227" s="3">
        <v>46392.0</v>
      </c>
      <c r="B227" s="4" t="str">
        <f t="shared" si="1"/>
        <v>Sem 33</v>
      </c>
      <c r="C227" s="4" t="str">
        <f t="shared" si="2"/>
        <v>Martes</v>
      </c>
      <c r="D227" s="11"/>
      <c r="E227" s="11"/>
      <c r="F227" s="11"/>
      <c r="G227" s="6" t="str">
        <f t="shared" si="3"/>
        <v/>
      </c>
      <c r="H227" s="11"/>
      <c r="I227" s="6" t="str">
        <f t="shared" si="4"/>
        <v/>
      </c>
      <c r="J227" s="11"/>
      <c r="K227" s="6" t="str">
        <f t="shared" si="5"/>
        <v/>
      </c>
      <c r="L227" s="11"/>
      <c r="M227" s="6" t="str">
        <f t="shared" si="6"/>
        <v/>
      </c>
      <c r="N227" s="11"/>
      <c r="O227" s="6" t="str">
        <f t="shared" si="7"/>
        <v/>
      </c>
      <c r="P227" s="12"/>
      <c r="Q227" s="8" t="str">
        <f>IF(P227="","",P227*'Config  Metas'!$B$10)</f>
        <v/>
      </c>
      <c r="R227" s="4" t="str">
        <f>IF(COUNTA(D227,E227,F227,H227,J227,L227,N227,P227)=0,"",IF(AND(D227&gt;0,E227/D227&lt;'Config  Metas'!$B$8),"🚨 COBERTURA DE LLAMADOS BAJA",IF(G227&lt;'Config  Metas'!$B$2,"🚨 CONTACTO BAJO",IF(I227&lt;'Config  Metas'!$B$3,"🚨 AGENDAMIENTO BAJO",IF(K227&lt;'Config  Metas'!$B$4,"⚠️ SHOW BAJO",IF(M227&lt;'Config  Metas'!$B$5,"🚨 RESERVA BAJA",IF(O227&lt;'Config  Metas'!$B$6,"🚨 CIERRE BAJO",IF(P227&lt;D227*'Config  Metas'!$B$15*'Config  Metas'!$B$9,"🔻 UF BAJO RITMO DINÁMICO","✅ DÍA SOBRE RITMO"))))))))</f>
        <v/>
      </c>
      <c r="S227" s="10"/>
      <c r="T227" s="10"/>
      <c r="U227" s="2"/>
      <c r="V227" s="2"/>
      <c r="W227" s="2"/>
      <c r="X227" s="2"/>
      <c r="Y227" s="2"/>
      <c r="Z227" s="2"/>
    </row>
    <row r="228" ht="15.75" customHeight="1">
      <c r="A228" s="3">
        <v>46393.0</v>
      </c>
      <c r="B228" s="4" t="str">
        <f t="shared" si="1"/>
        <v>Sem 33</v>
      </c>
      <c r="C228" s="4" t="str">
        <f t="shared" si="2"/>
        <v>Miércoles</v>
      </c>
      <c r="D228" s="11"/>
      <c r="E228" s="11"/>
      <c r="F228" s="11"/>
      <c r="G228" s="6" t="str">
        <f t="shared" si="3"/>
        <v/>
      </c>
      <c r="H228" s="11"/>
      <c r="I228" s="6" t="str">
        <f t="shared" si="4"/>
        <v/>
      </c>
      <c r="J228" s="11"/>
      <c r="K228" s="6" t="str">
        <f t="shared" si="5"/>
        <v/>
      </c>
      <c r="L228" s="11"/>
      <c r="M228" s="6" t="str">
        <f t="shared" si="6"/>
        <v/>
      </c>
      <c r="N228" s="11"/>
      <c r="O228" s="6" t="str">
        <f t="shared" si="7"/>
        <v/>
      </c>
      <c r="P228" s="12"/>
      <c r="Q228" s="8" t="str">
        <f>IF(P228="","",P228*'Config  Metas'!$B$10)</f>
        <v/>
      </c>
      <c r="R228" s="4" t="str">
        <f>IF(COUNTA(D228,E228,F228,H228,J228,L228,N228,P228)=0,"",IF(AND(D228&gt;0,E228/D228&lt;'Config  Metas'!$B$8),"🚨 COBERTURA DE LLAMADOS BAJA",IF(G228&lt;'Config  Metas'!$B$2,"🚨 CONTACTO BAJO",IF(I228&lt;'Config  Metas'!$B$3,"🚨 AGENDAMIENTO BAJO",IF(K228&lt;'Config  Metas'!$B$4,"⚠️ SHOW BAJO",IF(M228&lt;'Config  Metas'!$B$5,"🚨 RESERVA BAJA",IF(O228&lt;'Config  Metas'!$B$6,"🚨 CIERRE BAJO",IF(P228&lt;D228*'Config  Metas'!$B$15*'Config  Metas'!$B$9,"🔻 UF BAJO RITMO DINÁMICO","✅ DÍA SOBRE RITMO"))))))))</f>
        <v/>
      </c>
      <c r="S228" s="10"/>
      <c r="T228" s="10"/>
      <c r="U228" s="2"/>
      <c r="V228" s="2"/>
      <c r="W228" s="2"/>
      <c r="X228" s="2"/>
      <c r="Y228" s="2"/>
      <c r="Z228" s="2"/>
    </row>
    <row r="229" ht="15.75" customHeight="1">
      <c r="A229" s="3">
        <v>46394.0</v>
      </c>
      <c r="B229" s="4" t="str">
        <f t="shared" si="1"/>
        <v>Sem 33</v>
      </c>
      <c r="C229" s="4" t="str">
        <f t="shared" si="2"/>
        <v>Jueves</v>
      </c>
      <c r="D229" s="11"/>
      <c r="E229" s="11"/>
      <c r="F229" s="11"/>
      <c r="G229" s="6" t="str">
        <f t="shared" si="3"/>
        <v/>
      </c>
      <c r="H229" s="11"/>
      <c r="I229" s="6" t="str">
        <f t="shared" si="4"/>
        <v/>
      </c>
      <c r="J229" s="11"/>
      <c r="K229" s="6" t="str">
        <f t="shared" si="5"/>
        <v/>
      </c>
      <c r="L229" s="11"/>
      <c r="M229" s="6" t="str">
        <f t="shared" si="6"/>
        <v/>
      </c>
      <c r="N229" s="11"/>
      <c r="O229" s="6" t="str">
        <f t="shared" si="7"/>
        <v/>
      </c>
      <c r="P229" s="12"/>
      <c r="Q229" s="8" t="str">
        <f>IF(P229="","",P229*'Config  Metas'!$B$10)</f>
        <v/>
      </c>
      <c r="R229" s="4" t="str">
        <f>IF(COUNTA(D229,E229,F229,H229,J229,L229,N229,P229)=0,"",IF(AND(D229&gt;0,E229/D229&lt;'Config  Metas'!$B$8),"🚨 COBERTURA DE LLAMADOS BAJA",IF(G229&lt;'Config  Metas'!$B$2,"🚨 CONTACTO BAJO",IF(I229&lt;'Config  Metas'!$B$3,"🚨 AGENDAMIENTO BAJO",IF(K229&lt;'Config  Metas'!$B$4,"⚠️ SHOW BAJO",IF(M229&lt;'Config  Metas'!$B$5,"🚨 RESERVA BAJA",IF(O229&lt;'Config  Metas'!$B$6,"🚨 CIERRE BAJO",IF(P229&lt;D229*'Config  Metas'!$B$15*'Config  Metas'!$B$9,"🔻 UF BAJO RITMO DINÁMICO","✅ DÍA SOBRE RITMO"))))))))</f>
        <v/>
      </c>
      <c r="S229" s="10"/>
      <c r="T229" s="10"/>
      <c r="U229" s="2"/>
      <c r="V229" s="2"/>
      <c r="W229" s="2"/>
      <c r="X229" s="2"/>
      <c r="Y229" s="2"/>
      <c r="Z229" s="2"/>
    </row>
    <row r="230" ht="15.75" customHeight="1">
      <c r="A230" s="3">
        <v>46395.0</v>
      </c>
      <c r="B230" s="4" t="str">
        <f t="shared" si="1"/>
        <v>Sem 33</v>
      </c>
      <c r="C230" s="4" t="str">
        <f t="shared" si="2"/>
        <v>Viernes</v>
      </c>
      <c r="D230" s="11"/>
      <c r="E230" s="11"/>
      <c r="F230" s="11"/>
      <c r="G230" s="6" t="str">
        <f t="shared" si="3"/>
        <v/>
      </c>
      <c r="H230" s="11"/>
      <c r="I230" s="6" t="str">
        <f t="shared" si="4"/>
        <v/>
      </c>
      <c r="J230" s="11"/>
      <c r="K230" s="6" t="str">
        <f t="shared" si="5"/>
        <v/>
      </c>
      <c r="L230" s="11"/>
      <c r="M230" s="6" t="str">
        <f t="shared" si="6"/>
        <v/>
      </c>
      <c r="N230" s="11"/>
      <c r="O230" s="6" t="str">
        <f t="shared" si="7"/>
        <v/>
      </c>
      <c r="P230" s="12"/>
      <c r="Q230" s="8" t="str">
        <f>IF(P230="","",P230*'Config  Metas'!$B$10)</f>
        <v/>
      </c>
      <c r="R230" s="4" t="str">
        <f>IF(COUNTA(D230,E230,F230,H230,J230,L230,N230,P230)=0,"",IF(AND(D230&gt;0,E230/D230&lt;'Config  Metas'!$B$8),"🚨 COBERTURA DE LLAMADOS BAJA",IF(G230&lt;'Config  Metas'!$B$2,"🚨 CONTACTO BAJO",IF(I230&lt;'Config  Metas'!$B$3,"🚨 AGENDAMIENTO BAJO",IF(K230&lt;'Config  Metas'!$B$4,"⚠️ SHOW BAJO",IF(M230&lt;'Config  Metas'!$B$5,"🚨 RESERVA BAJA",IF(O230&lt;'Config  Metas'!$B$6,"🚨 CIERRE BAJO",IF(P230&lt;D230*'Config  Metas'!$B$15*'Config  Metas'!$B$9,"🔻 UF BAJO RITMO DINÁMICO","✅ DÍA SOBRE RITMO"))))))))</f>
        <v/>
      </c>
      <c r="S230" s="10"/>
      <c r="T230" s="10"/>
      <c r="U230" s="2"/>
      <c r="V230" s="2"/>
      <c r="W230" s="2"/>
      <c r="X230" s="2"/>
      <c r="Y230" s="2"/>
      <c r="Z230" s="2"/>
    </row>
    <row r="231" ht="15.75" customHeight="1">
      <c r="A231" s="3">
        <v>46396.0</v>
      </c>
      <c r="B231" s="4" t="str">
        <f t="shared" si="1"/>
        <v>Sem 33</v>
      </c>
      <c r="C231" s="4" t="str">
        <f t="shared" si="2"/>
        <v>Sábado</v>
      </c>
      <c r="D231" s="11"/>
      <c r="E231" s="11"/>
      <c r="F231" s="11"/>
      <c r="G231" s="6" t="str">
        <f t="shared" si="3"/>
        <v/>
      </c>
      <c r="H231" s="11"/>
      <c r="I231" s="6" t="str">
        <f t="shared" si="4"/>
        <v/>
      </c>
      <c r="J231" s="11"/>
      <c r="K231" s="6" t="str">
        <f t="shared" si="5"/>
        <v/>
      </c>
      <c r="L231" s="11"/>
      <c r="M231" s="6" t="str">
        <f t="shared" si="6"/>
        <v/>
      </c>
      <c r="N231" s="11"/>
      <c r="O231" s="6" t="str">
        <f t="shared" si="7"/>
        <v/>
      </c>
      <c r="P231" s="12"/>
      <c r="Q231" s="8" t="str">
        <f>IF(P231="","",P231*'Config  Metas'!$B$10)</f>
        <v/>
      </c>
      <c r="R231" s="4" t="str">
        <f>IF(COUNTA(D231,E231,F231,H231,J231,L231,N231,P231)=0,"",IF(AND(D231&gt;0,E231/D231&lt;'Config  Metas'!$B$8),"🚨 COBERTURA DE LLAMADOS BAJA",IF(G231&lt;'Config  Metas'!$B$2,"🚨 CONTACTO BAJO",IF(I231&lt;'Config  Metas'!$B$3,"🚨 AGENDAMIENTO BAJO",IF(K231&lt;'Config  Metas'!$B$4,"⚠️ SHOW BAJO",IF(M231&lt;'Config  Metas'!$B$5,"🚨 RESERVA BAJA",IF(O231&lt;'Config  Metas'!$B$6,"🚨 CIERRE BAJO",IF(P231&lt;D231*'Config  Metas'!$B$15*'Config  Metas'!$B$9,"🔻 UF BAJO RITMO DINÁMICO","✅ DÍA SOBRE RITMO"))))))))</f>
        <v/>
      </c>
      <c r="S231" s="10"/>
      <c r="T231" s="10"/>
      <c r="U231" s="2"/>
      <c r="V231" s="2"/>
      <c r="W231" s="2"/>
      <c r="X231" s="2"/>
      <c r="Y231" s="2"/>
      <c r="Z231" s="2"/>
    </row>
    <row r="232" ht="15.75" customHeight="1">
      <c r="A232" s="3">
        <v>46397.0</v>
      </c>
      <c r="B232" s="4" t="str">
        <f t="shared" si="1"/>
        <v>Sem 33</v>
      </c>
      <c r="C232" s="4" t="str">
        <f t="shared" si="2"/>
        <v>Domingo</v>
      </c>
      <c r="D232" s="11"/>
      <c r="E232" s="11"/>
      <c r="F232" s="11"/>
      <c r="G232" s="6" t="str">
        <f t="shared" si="3"/>
        <v/>
      </c>
      <c r="H232" s="11"/>
      <c r="I232" s="6" t="str">
        <f t="shared" si="4"/>
        <v/>
      </c>
      <c r="J232" s="11"/>
      <c r="K232" s="6" t="str">
        <f t="shared" si="5"/>
        <v/>
      </c>
      <c r="L232" s="11"/>
      <c r="M232" s="6" t="str">
        <f t="shared" si="6"/>
        <v/>
      </c>
      <c r="N232" s="11"/>
      <c r="O232" s="6" t="str">
        <f t="shared" si="7"/>
        <v/>
      </c>
      <c r="P232" s="12"/>
      <c r="Q232" s="8" t="str">
        <f>IF(P232="","",P232*'Config  Metas'!$B$10)</f>
        <v/>
      </c>
      <c r="R232" s="4" t="str">
        <f>IF(COUNTA(D232,E232,F232,H232,J232,L232,N232,P232)=0,"",IF(AND(D232&gt;0,E232/D232&lt;'Config  Metas'!$B$8),"🚨 COBERTURA DE LLAMADOS BAJA",IF(G232&lt;'Config  Metas'!$B$2,"🚨 CONTACTO BAJO",IF(I232&lt;'Config  Metas'!$B$3,"🚨 AGENDAMIENTO BAJO",IF(K232&lt;'Config  Metas'!$B$4,"⚠️ SHOW BAJO",IF(M232&lt;'Config  Metas'!$B$5,"🚨 RESERVA BAJA",IF(O232&lt;'Config  Metas'!$B$6,"🚨 CIERRE BAJO",IF(P232&lt;D232*'Config  Metas'!$B$15*'Config  Metas'!$B$9,"🔻 UF BAJO RITMO DINÁMICO","✅ DÍA SOBRE RITMO"))))))))</f>
        <v/>
      </c>
      <c r="S232" s="10"/>
      <c r="T232" s="10"/>
      <c r="U232" s="2"/>
      <c r="V232" s="2"/>
      <c r="W232" s="2"/>
      <c r="X232" s="2"/>
      <c r="Y232" s="2"/>
      <c r="Z232" s="2"/>
    </row>
    <row r="233" ht="15.75" customHeight="1">
      <c r="A233" s="3">
        <v>46398.0</v>
      </c>
      <c r="B233" s="4" t="str">
        <f t="shared" si="1"/>
        <v>Sem 34</v>
      </c>
      <c r="C233" s="4" t="str">
        <f t="shared" si="2"/>
        <v>Lunes</v>
      </c>
      <c r="D233" s="11"/>
      <c r="E233" s="11"/>
      <c r="F233" s="11"/>
      <c r="G233" s="6" t="str">
        <f t="shared" si="3"/>
        <v/>
      </c>
      <c r="H233" s="11"/>
      <c r="I233" s="6" t="str">
        <f t="shared" si="4"/>
        <v/>
      </c>
      <c r="J233" s="11"/>
      <c r="K233" s="6" t="str">
        <f t="shared" si="5"/>
        <v/>
      </c>
      <c r="L233" s="11"/>
      <c r="M233" s="6" t="str">
        <f t="shared" si="6"/>
        <v/>
      </c>
      <c r="N233" s="11"/>
      <c r="O233" s="6" t="str">
        <f t="shared" si="7"/>
        <v/>
      </c>
      <c r="P233" s="12"/>
      <c r="Q233" s="8" t="str">
        <f>IF(P233="","",P233*'Config  Metas'!$B$10)</f>
        <v/>
      </c>
      <c r="R233" s="4" t="str">
        <f>IF(COUNTA(D233,E233,F233,H233,J233,L233,N233,P233)=0,"",IF(AND(D233&gt;0,E233/D233&lt;'Config  Metas'!$B$8),"🚨 COBERTURA DE LLAMADOS BAJA",IF(G233&lt;'Config  Metas'!$B$2,"🚨 CONTACTO BAJO",IF(I233&lt;'Config  Metas'!$B$3,"🚨 AGENDAMIENTO BAJO",IF(K233&lt;'Config  Metas'!$B$4,"⚠️ SHOW BAJO",IF(M233&lt;'Config  Metas'!$B$5,"🚨 RESERVA BAJA",IF(O233&lt;'Config  Metas'!$B$6,"🚨 CIERRE BAJO",IF(P233&lt;D233*'Config  Metas'!$B$15*'Config  Metas'!$B$9,"🔻 UF BAJO RITMO DINÁMICO","✅ DÍA SOBRE RITMO"))))))))</f>
        <v/>
      </c>
      <c r="S233" s="10"/>
      <c r="T233" s="10"/>
      <c r="U233" s="2"/>
      <c r="V233" s="2"/>
      <c r="W233" s="2"/>
      <c r="X233" s="2"/>
      <c r="Y233" s="2"/>
      <c r="Z233" s="2"/>
    </row>
    <row r="234" ht="15.75" customHeight="1">
      <c r="A234" s="3">
        <v>46399.0</v>
      </c>
      <c r="B234" s="4" t="str">
        <f t="shared" si="1"/>
        <v>Sem 34</v>
      </c>
      <c r="C234" s="4" t="str">
        <f t="shared" si="2"/>
        <v>Martes</v>
      </c>
      <c r="D234" s="11"/>
      <c r="E234" s="11"/>
      <c r="F234" s="11"/>
      <c r="G234" s="6" t="str">
        <f t="shared" si="3"/>
        <v/>
      </c>
      <c r="H234" s="11"/>
      <c r="I234" s="6" t="str">
        <f t="shared" si="4"/>
        <v/>
      </c>
      <c r="J234" s="11"/>
      <c r="K234" s="6" t="str">
        <f t="shared" si="5"/>
        <v/>
      </c>
      <c r="L234" s="11"/>
      <c r="M234" s="6" t="str">
        <f t="shared" si="6"/>
        <v/>
      </c>
      <c r="N234" s="11"/>
      <c r="O234" s="6" t="str">
        <f t="shared" si="7"/>
        <v/>
      </c>
      <c r="P234" s="12"/>
      <c r="Q234" s="8" t="str">
        <f>IF(P234="","",P234*'Config  Metas'!$B$10)</f>
        <v/>
      </c>
      <c r="R234" s="4" t="str">
        <f>IF(COUNTA(D234,E234,F234,H234,J234,L234,N234,P234)=0,"",IF(AND(D234&gt;0,E234/D234&lt;'Config  Metas'!$B$8),"🚨 COBERTURA DE LLAMADOS BAJA",IF(G234&lt;'Config  Metas'!$B$2,"🚨 CONTACTO BAJO",IF(I234&lt;'Config  Metas'!$B$3,"🚨 AGENDAMIENTO BAJO",IF(K234&lt;'Config  Metas'!$B$4,"⚠️ SHOW BAJO",IF(M234&lt;'Config  Metas'!$B$5,"🚨 RESERVA BAJA",IF(O234&lt;'Config  Metas'!$B$6,"🚨 CIERRE BAJO",IF(P234&lt;D234*'Config  Metas'!$B$15*'Config  Metas'!$B$9,"🔻 UF BAJO RITMO DINÁMICO","✅ DÍA SOBRE RITMO"))))))))</f>
        <v/>
      </c>
      <c r="S234" s="10"/>
      <c r="T234" s="10"/>
      <c r="U234" s="2"/>
      <c r="V234" s="2"/>
      <c r="W234" s="2"/>
      <c r="X234" s="2"/>
      <c r="Y234" s="2"/>
      <c r="Z234" s="2"/>
    </row>
    <row r="235" ht="15.75" customHeight="1">
      <c r="A235" s="3">
        <v>46400.0</v>
      </c>
      <c r="B235" s="4" t="str">
        <f t="shared" si="1"/>
        <v>Sem 34</v>
      </c>
      <c r="C235" s="4" t="str">
        <f t="shared" si="2"/>
        <v>Miércoles</v>
      </c>
      <c r="D235" s="11"/>
      <c r="E235" s="11"/>
      <c r="F235" s="11"/>
      <c r="G235" s="6" t="str">
        <f t="shared" si="3"/>
        <v/>
      </c>
      <c r="H235" s="11"/>
      <c r="I235" s="6" t="str">
        <f t="shared" si="4"/>
        <v/>
      </c>
      <c r="J235" s="11"/>
      <c r="K235" s="6" t="str">
        <f t="shared" si="5"/>
        <v/>
      </c>
      <c r="L235" s="11"/>
      <c r="M235" s="6" t="str">
        <f t="shared" si="6"/>
        <v/>
      </c>
      <c r="N235" s="11"/>
      <c r="O235" s="6" t="str">
        <f t="shared" si="7"/>
        <v/>
      </c>
      <c r="P235" s="12"/>
      <c r="Q235" s="8" t="str">
        <f>IF(P235="","",P235*'Config  Metas'!$B$10)</f>
        <v/>
      </c>
      <c r="R235" s="4" t="str">
        <f>IF(COUNTA(D235,E235,F235,H235,J235,L235,N235,P235)=0,"",IF(AND(D235&gt;0,E235/D235&lt;'Config  Metas'!$B$8),"🚨 COBERTURA DE LLAMADOS BAJA",IF(G235&lt;'Config  Metas'!$B$2,"🚨 CONTACTO BAJO",IF(I235&lt;'Config  Metas'!$B$3,"🚨 AGENDAMIENTO BAJO",IF(K235&lt;'Config  Metas'!$B$4,"⚠️ SHOW BAJO",IF(M235&lt;'Config  Metas'!$B$5,"🚨 RESERVA BAJA",IF(O235&lt;'Config  Metas'!$B$6,"🚨 CIERRE BAJO",IF(P235&lt;D235*'Config  Metas'!$B$15*'Config  Metas'!$B$9,"🔻 UF BAJO RITMO DINÁMICO","✅ DÍA SOBRE RITMO"))))))))</f>
        <v/>
      </c>
      <c r="S235" s="10"/>
      <c r="T235" s="10"/>
      <c r="U235" s="2"/>
      <c r="V235" s="2"/>
      <c r="W235" s="2"/>
      <c r="X235" s="2"/>
      <c r="Y235" s="2"/>
      <c r="Z235" s="2"/>
    </row>
    <row r="236" ht="15.75" customHeight="1">
      <c r="A236" s="3">
        <v>46401.0</v>
      </c>
      <c r="B236" s="4" t="str">
        <f t="shared" si="1"/>
        <v>Sem 34</v>
      </c>
      <c r="C236" s="4" t="str">
        <f t="shared" si="2"/>
        <v>Jueves</v>
      </c>
      <c r="D236" s="11"/>
      <c r="E236" s="11"/>
      <c r="F236" s="11"/>
      <c r="G236" s="6" t="str">
        <f t="shared" si="3"/>
        <v/>
      </c>
      <c r="H236" s="11"/>
      <c r="I236" s="6" t="str">
        <f t="shared" si="4"/>
        <v/>
      </c>
      <c r="J236" s="11"/>
      <c r="K236" s="6" t="str">
        <f t="shared" si="5"/>
        <v/>
      </c>
      <c r="L236" s="11"/>
      <c r="M236" s="6" t="str">
        <f t="shared" si="6"/>
        <v/>
      </c>
      <c r="N236" s="11"/>
      <c r="O236" s="6" t="str">
        <f t="shared" si="7"/>
        <v/>
      </c>
      <c r="P236" s="12"/>
      <c r="Q236" s="8" t="str">
        <f>IF(P236="","",P236*'Config  Metas'!$B$10)</f>
        <v/>
      </c>
      <c r="R236" s="4" t="str">
        <f>IF(COUNTA(D236,E236,F236,H236,J236,L236,N236,P236)=0,"",IF(AND(D236&gt;0,E236/D236&lt;'Config  Metas'!$B$8),"🚨 COBERTURA DE LLAMADOS BAJA",IF(G236&lt;'Config  Metas'!$B$2,"🚨 CONTACTO BAJO",IF(I236&lt;'Config  Metas'!$B$3,"🚨 AGENDAMIENTO BAJO",IF(K236&lt;'Config  Metas'!$B$4,"⚠️ SHOW BAJO",IF(M236&lt;'Config  Metas'!$B$5,"🚨 RESERVA BAJA",IF(O236&lt;'Config  Metas'!$B$6,"🚨 CIERRE BAJO",IF(P236&lt;D236*'Config  Metas'!$B$15*'Config  Metas'!$B$9,"🔻 UF BAJO RITMO DINÁMICO","✅ DÍA SOBRE RITMO"))))))))</f>
        <v/>
      </c>
      <c r="S236" s="10"/>
      <c r="T236" s="10"/>
      <c r="U236" s="2"/>
      <c r="V236" s="2"/>
      <c r="W236" s="2"/>
      <c r="X236" s="2"/>
      <c r="Y236" s="2"/>
      <c r="Z236" s="2"/>
    </row>
    <row r="237" ht="15.75" customHeight="1">
      <c r="A237" s="3">
        <v>46402.0</v>
      </c>
      <c r="B237" s="4" t="str">
        <f t="shared" si="1"/>
        <v>Sem 34</v>
      </c>
      <c r="C237" s="4" t="str">
        <f t="shared" si="2"/>
        <v>Viernes</v>
      </c>
      <c r="D237" s="11"/>
      <c r="E237" s="11"/>
      <c r="F237" s="11"/>
      <c r="G237" s="6" t="str">
        <f t="shared" si="3"/>
        <v/>
      </c>
      <c r="H237" s="11"/>
      <c r="I237" s="6" t="str">
        <f t="shared" si="4"/>
        <v/>
      </c>
      <c r="J237" s="11"/>
      <c r="K237" s="6" t="str">
        <f t="shared" si="5"/>
        <v/>
      </c>
      <c r="L237" s="11"/>
      <c r="M237" s="6" t="str">
        <f t="shared" si="6"/>
        <v/>
      </c>
      <c r="N237" s="11"/>
      <c r="O237" s="6" t="str">
        <f t="shared" si="7"/>
        <v/>
      </c>
      <c r="P237" s="12"/>
      <c r="Q237" s="8" t="str">
        <f>IF(P237="","",P237*'Config  Metas'!$B$10)</f>
        <v/>
      </c>
      <c r="R237" s="4" t="str">
        <f>IF(COUNTA(D237,E237,F237,H237,J237,L237,N237,P237)=0,"",IF(AND(D237&gt;0,E237/D237&lt;'Config  Metas'!$B$8),"🚨 COBERTURA DE LLAMADOS BAJA",IF(G237&lt;'Config  Metas'!$B$2,"🚨 CONTACTO BAJO",IF(I237&lt;'Config  Metas'!$B$3,"🚨 AGENDAMIENTO BAJO",IF(K237&lt;'Config  Metas'!$B$4,"⚠️ SHOW BAJO",IF(M237&lt;'Config  Metas'!$B$5,"🚨 RESERVA BAJA",IF(O237&lt;'Config  Metas'!$B$6,"🚨 CIERRE BAJO",IF(P237&lt;D237*'Config  Metas'!$B$15*'Config  Metas'!$B$9,"🔻 UF BAJO RITMO DINÁMICO","✅ DÍA SOBRE RITMO"))))))))</f>
        <v/>
      </c>
      <c r="S237" s="10"/>
      <c r="T237" s="10"/>
      <c r="U237" s="2"/>
      <c r="V237" s="2"/>
      <c r="W237" s="2"/>
      <c r="X237" s="2"/>
      <c r="Y237" s="2"/>
      <c r="Z237" s="2"/>
    </row>
    <row r="238" ht="15.75" customHeight="1">
      <c r="A238" s="3">
        <v>46403.0</v>
      </c>
      <c r="B238" s="4" t="str">
        <f t="shared" si="1"/>
        <v>Sem 34</v>
      </c>
      <c r="C238" s="4" t="str">
        <f t="shared" si="2"/>
        <v>Sábado</v>
      </c>
      <c r="D238" s="11"/>
      <c r="E238" s="11"/>
      <c r="F238" s="11"/>
      <c r="G238" s="6" t="str">
        <f t="shared" si="3"/>
        <v/>
      </c>
      <c r="H238" s="11"/>
      <c r="I238" s="6" t="str">
        <f t="shared" si="4"/>
        <v/>
      </c>
      <c r="J238" s="11"/>
      <c r="K238" s="6" t="str">
        <f t="shared" si="5"/>
        <v/>
      </c>
      <c r="L238" s="11"/>
      <c r="M238" s="6" t="str">
        <f t="shared" si="6"/>
        <v/>
      </c>
      <c r="N238" s="11"/>
      <c r="O238" s="6" t="str">
        <f t="shared" si="7"/>
        <v/>
      </c>
      <c r="P238" s="12"/>
      <c r="Q238" s="8" t="str">
        <f>IF(P238="","",P238*'Config  Metas'!$B$10)</f>
        <v/>
      </c>
      <c r="R238" s="4" t="str">
        <f>IF(COUNTA(D238,E238,F238,H238,J238,L238,N238,P238)=0,"",IF(AND(D238&gt;0,E238/D238&lt;'Config  Metas'!$B$8),"🚨 COBERTURA DE LLAMADOS BAJA",IF(G238&lt;'Config  Metas'!$B$2,"🚨 CONTACTO BAJO",IF(I238&lt;'Config  Metas'!$B$3,"🚨 AGENDAMIENTO BAJO",IF(K238&lt;'Config  Metas'!$B$4,"⚠️ SHOW BAJO",IF(M238&lt;'Config  Metas'!$B$5,"🚨 RESERVA BAJA",IF(O238&lt;'Config  Metas'!$B$6,"🚨 CIERRE BAJO",IF(P238&lt;D238*'Config  Metas'!$B$15*'Config  Metas'!$B$9,"🔻 UF BAJO RITMO DINÁMICO","✅ DÍA SOBRE RITMO"))))))))</f>
        <v/>
      </c>
      <c r="S238" s="10"/>
      <c r="T238" s="10"/>
      <c r="U238" s="2"/>
      <c r="V238" s="2"/>
      <c r="W238" s="2"/>
      <c r="X238" s="2"/>
      <c r="Y238" s="2"/>
      <c r="Z238" s="2"/>
    </row>
    <row r="239" ht="15.75" customHeight="1">
      <c r="A239" s="3">
        <v>46404.0</v>
      </c>
      <c r="B239" s="4" t="str">
        <f t="shared" si="1"/>
        <v>Sem 34</v>
      </c>
      <c r="C239" s="4" t="str">
        <f t="shared" si="2"/>
        <v>Domingo</v>
      </c>
      <c r="D239" s="11"/>
      <c r="E239" s="11"/>
      <c r="F239" s="11"/>
      <c r="G239" s="6" t="str">
        <f t="shared" si="3"/>
        <v/>
      </c>
      <c r="H239" s="11"/>
      <c r="I239" s="6" t="str">
        <f t="shared" si="4"/>
        <v/>
      </c>
      <c r="J239" s="11"/>
      <c r="K239" s="6" t="str">
        <f t="shared" si="5"/>
        <v/>
      </c>
      <c r="L239" s="11"/>
      <c r="M239" s="6" t="str">
        <f t="shared" si="6"/>
        <v/>
      </c>
      <c r="N239" s="11"/>
      <c r="O239" s="6" t="str">
        <f t="shared" si="7"/>
        <v/>
      </c>
      <c r="P239" s="12"/>
      <c r="Q239" s="8" t="str">
        <f>IF(P239="","",P239*'Config  Metas'!$B$10)</f>
        <v/>
      </c>
      <c r="R239" s="4" t="str">
        <f>IF(COUNTA(D239,E239,F239,H239,J239,L239,N239,P239)=0,"",IF(AND(D239&gt;0,E239/D239&lt;'Config  Metas'!$B$8),"🚨 COBERTURA DE LLAMADOS BAJA",IF(G239&lt;'Config  Metas'!$B$2,"🚨 CONTACTO BAJO",IF(I239&lt;'Config  Metas'!$B$3,"🚨 AGENDAMIENTO BAJO",IF(K239&lt;'Config  Metas'!$B$4,"⚠️ SHOW BAJO",IF(M239&lt;'Config  Metas'!$B$5,"🚨 RESERVA BAJA",IF(O239&lt;'Config  Metas'!$B$6,"🚨 CIERRE BAJO",IF(P239&lt;D239*'Config  Metas'!$B$15*'Config  Metas'!$B$9,"🔻 UF BAJO RITMO DINÁMICO","✅ DÍA SOBRE RITMO"))))))))</f>
        <v/>
      </c>
      <c r="S239" s="10"/>
      <c r="T239" s="10"/>
      <c r="U239" s="2"/>
      <c r="V239" s="2"/>
      <c r="W239" s="2"/>
      <c r="X239" s="2"/>
      <c r="Y239" s="2"/>
      <c r="Z239" s="2"/>
    </row>
    <row r="240" ht="15.75" customHeight="1">
      <c r="A240" s="3">
        <v>46405.0</v>
      </c>
      <c r="B240" s="4" t="str">
        <f t="shared" si="1"/>
        <v>Sem 35</v>
      </c>
      <c r="C240" s="4" t="str">
        <f t="shared" si="2"/>
        <v>Lunes</v>
      </c>
      <c r="D240" s="11"/>
      <c r="E240" s="11"/>
      <c r="F240" s="11"/>
      <c r="G240" s="6" t="str">
        <f t="shared" si="3"/>
        <v/>
      </c>
      <c r="H240" s="11"/>
      <c r="I240" s="6" t="str">
        <f t="shared" si="4"/>
        <v/>
      </c>
      <c r="J240" s="11"/>
      <c r="K240" s="6" t="str">
        <f t="shared" si="5"/>
        <v/>
      </c>
      <c r="L240" s="11"/>
      <c r="M240" s="6" t="str">
        <f t="shared" si="6"/>
        <v/>
      </c>
      <c r="N240" s="11"/>
      <c r="O240" s="6" t="str">
        <f t="shared" si="7"/>
        <v/>
      </c>
      <c r="P240" s="12"/>
      <c r="Q240" s="8" t="str">
        <f>IF(P240="","",P240*'Config  Metas'!$B$10)</f>
        <v/>
      </c>
      <c r="R240" s="4" t="str">
        <f>IF(COUNTA(D240,E240,F240,H240,J240,L240,N240,P240)=0,"",IF(AND(D240&gt;0,E240/D240&lt;'Config  Metas'!$B$8),"🚨 COBERTURA DE LLAMADOS BAJA",IF(G240&lt;'Config  Metas'!$B$2,"🚨 CONTACTO BAJO",IF(I240&lt;'Config  Metas'!$B$3,"🚨 AGENDAMIENTO BAJO",IF(K240&lt;'Config  Metas'!$B$4,"⚠️ SHOW BAJO",IF(M240&lt;'Config  Metas'!$B$5,"🚨 RESERVA BAJA",IF(O240&lt;'Config  Metas'!$B$6,"🚨 CIERRE BAJO",IF(P240&lt;D240*'Config  Metas'!$B$15*'Config  Metas'!$B$9,"🔻 UF BAJO RITMO DINÁMICO","✅ DÍA SOBRE RITMO"))))))))</f>
        <v/>
      </c>
      <c r="S240" s="10"/>
      <c r="T240" s="10"/>
      <c r="U240" s="2"/>
      <c r="V240" s="2"/>
      <c r="W240" s="2"/>
      <c r="X240" s="2"/>
      <c r="Y240" s="2"/>
      <c r="Z240" s="2"/>
    </row>
    <row r="241" ht="15.75" customHeight="1">
      <c r="A241" s="3">
        <v>46406.0</v>
      </c>
      <c r="B241" s="4" t="str">
        <f t="shared" si="1"/>
        <v>Sem 35</v>
      </c>
      <c r="C241" s="4" t="str">
        <f t="shared" si="2"/>
        <v>Martes</v>
      </c>
      <c r="D241" s="11"/>
      <c r="E241" s="11"/>
      <c r="F241" s="11"/>
      <c r="G241" s="6" t="str">
        <f t="shared" si="3"/>
        <v/>
      </c>
      <c r="H241" s="11"/>
      <c r="I241" s="6" t="str">
        <f t="shared" si="4"/>
        <v/>
      </c>
      <c r="J241" s="11"/>
      <c r="K241" s="6" t="str">
        <f t="shared" si="5"/>
        <v/>
      </c>
      <c r="L241" s="11"/>
      <c r="M241" s="6" t="str">
        <f t="shared" si="6"/>
        <v/>
      </c>
      <c r="N241" s="11"/>
      <c r="O241" s="6" t="str">
        <f t="shared" si="7"/>
        <v/>
      </c>
      <c r="P241" s="12"/>
      <c r="Q241" s="8" t="str">
        <f>IF(P241="","",P241*'Config  Metas'!$B$10)</f>
        <v/>
      </c>
      <c r="R241" s="4" t="str">
        <f>IF(COUNTA(D241,E241,F241,H241,J241,L241,N241,P241)=0,"",IF(AND(D241&gt;0,E241/D241&lt;'Config  Metas'!$B$8),"🚨 COBERTURA DE LLAMADOS BAJA",IF(G241&lt;'Config  Metas'!$B$2,"🚨 CONTACTO BAJO",IF(I241&lt;'Config  Metas'!$B$3,"🚨 AGENDAMIENTO BAJO",IF(K241&lt;'Config  Metas'!$B$4,"⚠️ SHOW BAJO",IF(M241&lt;'Config  Metas'!$B$5,"🚨 RESERVA BAJA",IF(O241&lt;'Config  Metas'!$B$6,"🚨 CIERRE BAJO",IF(P241&lt;D241*'Config  Metas'!$B$15*'Config  Metas'!$B$9,"🔻 UF BAJO RITMO DINÁMICO","✅ DÍA SOBRE RITMO"))))))))</f>
        <v/>
      </c>
      <c r="S241" s="10"/>
      <c r="T241" s="10"/>
      <c r="U241" s="2"/>
      <c r="V241" s="2"/>
      <c r="W241" s="2"/>
      <c r="X241" s="2"/>
      <c r="Y241" s="2"/>
      <c r="Z241" s="2"/>
    </row>
    <row r="242" ht="15.75" customHeight="1">
      <c r="A242" s="3">
        <v>46407.0</v>
      </c>
      <c r="B242" s="4" t="str">
        <f t="shared" si="1"/>
        <v>Sem 35</v>
      </c>
      <c r="C242" s="4" t="str">
        <f t="shared" si="2"/>
        <v>Miércoles</v>
      </c>
      <c r="D242" s="11"/>
      <c r="E242" s="11"/>
      <c r="F242" s="11"/>
      <c r="G242" s="6" t="str">
        <f t="shared" si="3"/>
        <v/>
      </c>
      <c r="H242" s="11"/>
      <c r="I242" s="6" t="str">
        <f t="shared" si="4"/>
        <v/>
      </c>
      <c r="J242" s="11"/>
      <c r="K242" s="6" t="str">
        <f t="shared" si="5"/>
        <v/>
      </c>
      <c r="L242" s="11"/>
      <c r="M242" s="6" t="str">
        <f t="shared" si="6"/>
        <v/>
      </c>
      <c r="N242" s="11"/>
      <c r="O242" s="6" t="str">
        <f t="shared" si="7"/>
        <v/>
      </c>
      <c r="P242" s="12"/>
      <c r="Q242" s="8" t="str">
        <f>IF(P242="","",P242*'Config  Metas'!$B$10)</f>
        <v/>
      </c>
      <c r="R242" s="4" t="str">
        <f>IF(COUNTA(D242,E242,F242,H242,J242,L242,N242,P242)=0,"",IF(AND(D242&gt;0,E242/D242&lt;'Config  Metas'!$B$8),"🚨 COBERTURA DE LLAMADOS BAJA",IF(G242&lt;'Config  Metas'!$B$2,"🚨 CONTACTO BAJO",IF(I242&lt;'Config  Metas'!$B$3,"🚨 AGENDAMIENTO BAJO",IF(K242&lt;'Config  Metas'!$B$4,"⚠️ SHOW BAJO",IF(M242&lt;'Config  Metas'!$B$5,"🚨 RESERVA BAJA",IF(O242&lt;'Config  Metas'!$B$6,"🚨 CIERRE BAJO",IF(P242&lt;D242*'Config  Metas'!$B$15*'Config  Metas'!$B$9,"🔻 UF BAJO RITMO DINÁMICO","✅ DÍA SOBRE RITMO"))))))))</f>
        <v/>
      </c>
      <c r="S242" s="10"/>
      <c r="T242" s="10"/>
      <c r="U242" s="2"/>
      <c r="V242" s="2"/>
      <c r="W242" s="2"/>
      <c r="X242" s="2"/>
      <c r="Y242" s="2"/>
      <c r="Z242" s="2"/>
    </row>
    <row r="243" ht="15.75" customHeight="1">
      <c r="A243" s="3">
        <v>46408.0</v>
      </c>
      <c r="B243" s="4" t="str">
        <f t="shared" si="1"/>
        <v>Sem 35</v>
      </c>
      <c r="C243" s="4" t="str">
        <f t="shared" si="2"/>
        <v>Jueves</v>
      </c>
      <c r="D243" s="11"/>
      <c r="E243" s="11"/>
      <c r="F243" s="11"/>
      <c r="G243" s="6" t="str">
        <f t="shared" si="3"/>
        <v/>
      </c>
      <c r="H243" s="11"/>
      <c r="I243" s="6" t="str">
        <f t="shared" si="4"/>
        <v/>
      </c>
      <c r="J243" s="11"/>
      <c r="K243" s="6" t="str">
        <f t="shared" si="5"/>
        <v/>
      </c>
      <c r="L243" s="11"/>
      <c r="M243" s="6" t="str">
        <f t="shared" si="6"/>
        <v/>
      </c>
      <c r="N243" s="11"/>
      <c r="O243" s="6" t="str">
        <f t="shared" si="7"/>
        <v/>
      </c>
      <c r="P243" s="12"/>
      <c r="Q243" s="8" t="str">
        <f>IF(P243="","",P243*'Config  Metas'!$B$10)</f>
        <v/>
      </c>
      <c r="R243" s="4" t="str">
        <f>IF(COUNTA(D243,E243,F243,H243,J243,L243,N243,P243)=0,"",IF(AND(D243&gt;0,E243/D243&lt;'Config  Metas'!$B$8),"🚨 COBERTURA DE LLAMADOS BAJA",IF(G243&lt;'Config  Metas'!$B$2,"🚨 CONTACTO BAJO",IF(I243&lt;'Config  Metas'!$B$3,"🚨 AGENDAMIENTO BAJO",IF(K243&lt;'Config  Metas'!$B$4,"⚠️ SHOW BAJO",IF(M243&lt;'Config  Metas'!$B$5,"🚨 RESERVA BAJA",IF(O243&lt;'Config  Metas'!$B$6,"🚨 CIERRE BAJO",IF(P243&lt;D243*'Config  Metas'!$B$15*'Config  Metas'!$B$9,"🔻 UF BAJO RITMO DINÁMICO","✅ DÍA SOBRE RITMO"))))))))</f>
        <v/>
      </c>
      <c r="S243" s="10"/>
      <c r="T243" s="10"/>
      <c r="U243" s="2"/>
      <c r="V243" s="2"/>
      <c r="W243" s="2"/>
      <c r="X243" s="2"/>
      <c r="Y243" s="2"/>
      <c r="Z243" s="2"/>
    </row>
    <row r="244" ht="15.75" customHeight="1">
      <c r="A244" s="3">
        <v>46409.0</v>
      </c>
      <c r="B244" s="4" t="str">
        <f t="shared" si="1"/>
        <v>Sem 35</v>
      </c>
      <c r="C244" s="4" t="str">
        <f t="shared" si="2"/>
        <v>Viernes</v>
      </c>
      <c r="D244" s="11"/>
      <c r="E244" s="11"/>
      <c r="F244" s="11"/>
      <c r="G244" s="6" t="str">
        <f t="shared" si="3"/>
        <v/>
      </c>
      <c r="H244" s="11"/>
      <c r="I244" s="6" t="str">
        <f t="shared" si="4"/>
        <v/>
      </c>
      <c r="J244" s="11"/>
      <c r="K244" s="6" t="str">
        <f t="shared" si="5"/>
        <v/>
      </c>
      <c r="L244" s="11"/>
      <c r="M244" s="6" t="str">
        <f t="shared" si="6"/>
        <v/>
      </c>
      <c r="N244" s="11"/>
      <c r="O244" s="6" t="str">
        <f t="shared" si="7"/>
        <v/>
      </c>
      <c r="P244" s="12"/>
      <c r="Q244" s="8" t="str">
        <f>IF(P244="","",P244*'Config  Metas'!$B$10)</f>
        <v/>
      </c>
      <c r="R244" s="4" t="str">
        <f>IF(COUNTA(D244,E244,F244,H244,J244,L244,N244,P244)=0,"",IF(AND(D244&gt;0,E244/D244&lt;'Config  Metas'!$B$8),"🚨 COBERTURA DE LLAMADOS BAJA",IF(G244&lt;'Config  Metas'!$B$2,"🚨 CONTACTO BAJO",IF(I244&lt;'Config  Metas'!$B$3,"🚨 AGENDAMIENTO BAJO",IF(K244&lt;'Config  Metas'!$B$4,"⚠️ SHOW BAJO",IF(M244&lt;'Config  Metas'!$B$5,"🚨 RESERVA BAJA",IF(O244&lt;'Config  Metas'!$B$6,"🚨 CIERRE BAJO",IF(P244&lt;D244*'Config  Metas'!$B$15*'Config  Metas'!$B$9,"🔻 UF BAJO RITMO DINÁMICO","✅ DÍA SOBRE RITMO"))))))))</f>
        <v/>
      </c>
      <c r="S244" s="10"/>
      <c r="T244" s="10"/>
      <c r="U244" s="2"/>
      <c r="V244" s="2"/>
      <c r="W244" s="2"/>
      <c r="X244" s="2"/>
      <c r="Y244" s="2"/>
      <c r="Z244" s="2"/>
    </row>
    <row r="245" ht="15.75" customHeight="1">
      <c r="A245" s="3">
        <v>46410.0</v>
      </c>
      <c r="B245" s="4" t="str">
        <f t="shared" si="1"/>
        <v>Sem 35</v>
      </c>
      <c r="C245" s="4" t="str">
        <f t="shared" si="2"/>
        <v>Sábado</v>
      </c>
      <c r="D245" s="11"/>
      <c r="E245" s="11"/>
      <c r="F245" s="11"/>
      <c r="G245" s="6" t="str">
        <f t="shared" si="3"/>
        <v/>
      </c>
      <c r="H245" s="11"/>
      <c r="I245" s="6" t="str">
        <f t="shared" si="4"/>
        <v/>
      </c>
      <c r="J245" s="11"/>
      <c r="K245" s="6" t="str">
        <f t="shared" si="5"/>
        <v/>
      </c>
      <c r="L245" s="11"/>
      <c r="M245" s="6" t="str">
        <f t="shared" si="6"/>
        <v/>
      </c>
      <c r="N245" s="11"/>
      <c r="O245" s="6" t="str">
        <f t="shared" si="7"/>
        <v/>
      </c>
      <c r="P245" s="12"/>
      <c r="Q245" s="8" t="str">
        <f>IF(P245="","",P245*'Config  Metas'!$B$10)</f>
        <v/>
      </c>
      <c r="R245" s="4" t="str">
        <f>IF(COUNTA(D245,E245,F245,H245,J245,L245,N245,P245)=0,"",IF(AND(D245&gt;0,E245/D245&lt;'Config  Metas'!$B$8),"🚨 COBERTURA DE LLAMADOS BAJA",IF(G245&lt;'Config  Metas'!$B$2,"🚨 CONTACTO BAJO",IF(I245&lt;'Config  Metas'!$B$3,"🚨 AGENDAMIENTO BAJO",IF(K245&lt;'Config  Metas'!$B$4,"⚠️ SHOW BAJO",IF(M245&lt;'Config  Metas'!$B$5,"🚨 RESERVA BAJA",IF(O245&lt;'Config  Metas'!$B$6,"🚨 CIERRE BAJO",IF(P245&lt;D245*'Config  Metas'!$B$15*'Config  Metas'!$B$9,"🔻 UF BAJO RITMO DINÁMICO","✅ DÍA SOBRE RITMO"))))))))</f>
        <v/>
      </c>
      <c r="S245" s="10"/>
      <c r="T245" s="10"/>
      <c r="U245" s="2"/>
      <c r="V245" s="2"/>
      <c r="W245" s="2"/>
      <c r="X245" s="2"/>
      <c r="Y245" s="2"/>
      <c r="Z245" s="2"/>
    </row>
    <row r="246" ht="15.75" customHeight="1">
      <c r="A246" s="3">
        <v>46411.0</v>
      </c>
      <c r="B246" s="4" t="str">
        <f t="shared" si="1"/>
        <v>Sem 35</v>
      </c>
      <c r="C246" s="4" t="str">
        <f t="shared" si="2"/>
        <v>Domingo</v>
      </c>
      <c r="D246" s="11"/>
      <c r="E246" s="11"/>
      <c r="F246" s="11"/>
      <c r="G246" s="6" t="str">
        <f t="shared" si="3"/>
        <v/>
      </c>
      <c r="H246" s="11"/>
      <c r="I246" s="6" t="str">
        <f t="shared" si="4"/>
        <v/>
      </c>
      <c r="J246" s="11"/>
      <c r="K246" s="6" t="str">
        <f t="shared" si="5"/>
        <v/>
      </c>
      <c r="L246" s="11"/>
      <c r="M246" s="6" t="str">
        <f t="shared" si="6"/>
        <v/>
      </c>
      <c r="N246" s="11"/>
      <c r="O246" s="6" t="str">
        <f t="shared" si="7"/>
        <v/>
      </c>
      <c r="P246" s="12"/>
      <c r="Q246" s="8" t="str">
        <f>IF(P246="","",P246*'Config  Metas'!$B$10)</f>
        <v/>
      </c>
      <c r="R246" s="4" t="str">
        <f>IF(COUNTA(D246,E246,F246,H246,J246,L246,N246,P246)=0,"",IF(AND(D246&gt;0,E246/D246&lt;'Config  Metas'!$B$8),"🚨 COBERTURA DE LLAMADOS BAJA",IF(G246&lt;'Config  Metas'!$B$2,"🚨 CONTACTO BAJO",IF(I246&lt;'Config  Metas'!$B$3,"🚨 AGENDAMIENTO BAJO",IF(K246&lt;'Config  Metas'!$B$4,"⚠️ SHOW BAJO",IF(M246&lt;'Config  Metas'!$B$5,"🚨 RESERVA BAJA",IF(O246&lt;'Config  Metas'!$B$6,"🚨 CIERRE BAJO",IF(P246&lt;D246*'Config  Metas'!$B$15*'Config  Metas'!$B$9,"🔻 UF BAJO RITMO DINÁMICO","✅ DÍA SOBRE RITMO"))))))))</f>
        <v/>
      </c>
      <c r="S246" s="10"/>
      <c r="T246" s="10"/>
      <c r="U246" s="2"/>
      <c r="V246" s="2"/>
      <c r="W246" s="2"/>
      <c r="X246" s="2"/>
      <c r="Y246" s="2"/>
      <c r="Z246" s="2"/>
    </row>
    <row r="247" ht="15.75" customHeight="1">
      <c r="A247" s="3">
        <v>46412.0</v>
      </c>
      <c r="B247" s="4" t="str">
        <f t="shared" si="1"/>
        <v>Sem 36</v>
      </c>
      <c r="C247" s="4" t="str">
        <f t="shared" si="2"/>
        <v>Lunes</v>
      </c>
      <c r="D247" s="11"/>
      <c r="E247" s="11"/>
      <c r="F247" s="11"/>
      <c r="G247" s="6" t="str">
        <f t="shared" si="3"/>
        <v/>
      </c>
      <c r="H247" s="11"/>
      <c r="I247" s="6" t="str">
        <f t="shared" si="4"/>
        <v/>
      </c>
      <c r="J247" s="11"/>
      <c r="K247" s="6" t="str">
        <f t="shared" si="5"/>
        <v/>
      </c>
      <c r="L247" s="11"/>
      <c r="M247" s="6" t="str">
        <f t="shared" si="6"/>
        <v/>
      </c>
      <c r="N247" s="11"/>
      <c r="O247" s="6" t="str">
        <f t="shared" si="7"/>
        <v/>
      </c>
      <c r="P247" s="12"/>
      <c r="Q247" s="8" t="str">
        <f>IF(P247="","",P247*'Config  Metas'!$B$10)</f>
        <v/>
      </c>
      <c r="R247" s="4" t="str">
        <f>IF(COUNTA(D247,E247,F247,H247,J247,L247,N247,P247)=0,"",IF(AND(D247&gt;0,E247/D247&lt;'Config  Metas'!$B$8),"🚨 COBERTURA DE LLAMADOS BAJA",IF(G247&lt;'Config  Metas'!$B$2,"🚨 CONTACTO BAJO",IF(I247&lt;'Config  Metas'!$B$3,"🚨 AGENDAMIENTO BAJO",IF(K247&lt;'Config  Metas'!$B$4,"⚠️ SHOW BAJO",IF(M247&lt;'Config  Metas'!$B$5,"🚨 RESERVA BAJA",IF(O247&lt;'Config  Metas'!$B$6,"🚨 CIERRE BAJO",IF(P247&lt;D247*'Config  Metas'!$B$15*'Config  Metas'!$B$9,"🔻 UF BAJO RITMO DINÁMICO","✅ DÍA SOBRE RITMO"))))))))</f>
        <v/>
      </c>
      <c r="S247" s="10"/>
      <c r="T247" s="10"/>
      <c r="U247" s="2"/>
      <c r="V247" s="2"/>
      <c r="W247" s="2"/>
      <c r="X247" s="2"/>
      <c r="Y247" s="2"/>
      <c r="Z247" s="2"/>
    </row>
    <row r="248" ht="15.75" customHeight="1">
      <c r="A248" s="3">
        <v>46413.0</v>
      </c>
      <c r="B248" s="4" t="str">
        <f t="shared" si="1"/>
        <v>Sem 36</v>
      </c>
      <c r="C248" s="4" t="str">
        <f t="shared" si="2"/>
        <v>Martes</v>
      </c>
      <c r="D248" s="11"/>
      <c r="E248" s="11"/>
      <c r="F248" s="11"/>
      <c r="G248" s="6" t="str">
        <f t="shared" si="3"/>
        <v/>
      </c>
      <c r="H248" s="11"/>
      <c r="I248" s="6" t="str">
        <f t="shared" si="4"/>
        <v/>
      </c>
      <c r="J248" s="11"/>
      <c r="K248" s="6" t="str">
        <f t="shared" si="5"/>
        <v/>
      </c>
      <c r="L248" s="11"/>
      <c r="M248" s="6" t="str">
        <f t="shared" si="6"/>
        <v/>
      </c>
      <c r="N248" s="11"/>
      <c r="O248" s="6" t="str">
        <f t="shared" si="7"/>
        <v/>
      </c>
      <c r="P248" s="12"/>
      <c r="Q248" s="8" t="str">
        <f>IF(P248="","",P248*'Config  Metas'!$B$10)</f>
        <v/>
      </c>
      <c r="R248" s="4" t="str">
        <f>IF(COUNTA(D248,E248,F248,H248,J248,L248,N248,P248)=0,"",IF(AND(D248&gt;0,E248/D248&lt;'Config  Metas'!$B$8),"🚨 COBERTURA DE LLAMADOS BAJA",IF(G248&lt;'Config  Metas'!$B$2,"🚨 CONTACTO BAJO",IF(I248&lt;'Config  Metas'!$B$3,"🚨 AGENDAMIENTO BAJO",IF(K248&lt;'Config  Metas'!$B$4,"⚠️ SHOW BAJO",IF(M248&lt;'Config  Metas'!$B$5,"🚨 RESERVA BAJA",IF(O248&lt;'Config  Metas'!$B$6,"🚨 CIERRE BAJO",IF(P248&lt;D248*'Config  Metas'!$B$15*'Config  Metas'!$B$9,"🔻 UF BAJO RITMO DINÁMICO","✅ DÍA SOBRE RITMO"))))))))</f>
        <v/>
      </c>
      <c r="S248" s="10"/>
      <c r="T248" s="10"/>
      <c r="U248" s="2"/>
      <c r="V248" s="2"/>
      <c r="W248" s="2"/>
      <c r="X248" s="2"/>
      <c r="Y248" s="2"/>
      <c r="Z248" s="2"/>
    </row>
    <row r="249" ht="15.75" customHeight="1">
      <c r="A249" s="3">
        <v>46414.0</v>
      </c>
      <c r="B249" s="4" t="str">
        <f t="shared" si="1"/>
        <v>Sem 36</v>
      </c>
      <c r="C249" s="4" t="str">
        <f t="shared" si="2"/>
        <v>Miércoles</v>
      </c>
      <c r="D249" s="11"/>
      <c r="E249" s="11"/>
      <c r="F249" s="11"/>
      <c r="G249" s="6" t="str">
        <f t="shared" si="3"/>
        <v/>
      </c>
      <c r="H249" s="11"/>
      <c r="I249" s="6" t="str">
        <f t="shared" si="4"/>
        <v/>
      </c>
      <c r="J249" s="11"/>
      <c r="K249" s="6" t="str">
        <f t="shared" si="5"/>
        <v/>
      </c>
      <c r="L249" s="11"/>
      <c r="M249" s="6" t="str">
        <f t="shared" si="6"/>
        <v/>
      </c>
      <c r="N249" s="11"/>
      <c r="O249" s="6" t="str">
        <f t="shared" si="7"/>
        <v/>
      </c>
      <c r="P249" s="12"/>
      <c r="Q249" s="8" t="str">
        <f>IF(P249="","",P249*'Config  Metas'!$B$10)</f>
        <v/>
      </c>
      <c r="R249" s="4" t="str">
        <f>IF(COUNTA(D249,E249,F249,H249,J249,L249,N249,P249)=0,"",IF(AND(D249&gt;0,E249/D249&lt;'Config  Metas'!$B$8),"🚨 COBERTURA DE LLAMADOS BAJA",IF(G249&lt;'Config  Metas'!$B$2,"🚨 CONTACTO BAJO",IF(I249&lt;'Config  Metas'!$B$3,"🚨 AGENDAMIENTO BAJO",IF(K249&lt;'Config  Metas'!$B$4,"⚠️ SHOW BAJO",IF(M249&lt;'Config  Metas'!$B$5,"🚨 RESERVA BAJA",IF(O249&lt;'Config  Metas'!$B$6,"🚨 CIERRE BAJO",IF(P249&lt;D249*'Config  Metas'!$B$15*'Config  Metas'!$B$9,"🔻 UF BAJO RITMO DINÁMICO","✅ DÍA SOBRE RITMO"))))))))</f>
        <v/>
      </c>
      <c r="S249" s="10"/>
      <c r="T249" s="10"/>
      <c r="U249" s="2"/>
      <c r="V249" s="2"/>
      <c r="W249" s="2"/>
      <c r="X249" s="2"/>
      <c r="Y249" s="2"/>
      <c r="Z249" s="2"/>
    </row>
    <row r="250" ht="15.75" customHeight="1">
      <c r="A250" s="3">
        <v>46415.0</v>
      </c>
      <c r="B250" s="4" t="str">
        <f t="shared" si="1"/>
        <v>Sem 36</v>
      </c>
      <c r="C250" s="4" t="str">
        <f t="shared" si="2"/>
        <v>Jueves</v>
      </c>
      <c r="D250" s="11"/>
      <c r="E250" s="11"/>
      <c r="F250" s="11"/>
      <c r="G250" s="6" t="str">
        <f t="shared" si="3"/>
        <v/>
      </c>
      <c r="H250" s="11"/>
      <c r="I250" s="6" t="str">
        <f t="shared" si="4"/>
        <v/>
      </c>
      <c r="J250" s="11"/>
      <c r="K250" s="6" t="str">
        <f t="shared" si="5"/>
        <v/>
      </c>
      <c r="L250" s="11"/>
      <c r="M250" s="6" t="str">
        <f t="shared" si="6"/>
        <v/>
      </c>
      <c r="N250" s="11"/>
      <c r="O250" s="6" t="str">
        <f t="shared" si="7"/>
        <v/>
      </c>
      <c r="P250" s="12"/>
      <c r="Q250" s="8" t="str">
        <f>IF(P250="","",P250*'Config  Metas'!$B$10)</f>
        <v/>
      </c>
      <c r="R250" s="4" t="str">
        <f>IF(COUNTA(D250,E250,F250,H250,J250,L250,N250,P250)=0,"",IF(AND(D250&gt;0,E250/D250&lt;'Config  Metas'!$B$8),"🚨 COBERTURA DE LLAMADOS BAJA",IF(G250&lt;'Config  Metas'!$B$2,"🚨 CONTACTO BAJO",IF(I250&lt;'Config  Metas'!$B$3,"🚨 AGENDAMIENTO BAJO",IF(K250&lt;'Config  Metas'!$B$4,"⚠️ SHOW BAJO",IF(M250&lt;'Config  Metas'!$B$5,"🚨 RESERVA BAJA",IF(O250&lt;'Config  Metas'!$B$6,"🚨 CIERRE BAJO",IF(P250&lt;D250*'Config  Metas'!$B$15*'Config  Metas'!$B$9,"🔻 UF BAJO RITMO DINÁMICO","✅ DÍA SOBRE RITMO"))))))))</f>
        <v/>
      </c>
      <c r="S250" s="10"/>
      <c r="T250" s="10"/>
      <c r="U250" s="2"/>
      <c r="V250" s="2"/>
      <c r="W250" s="2"/>
      <c r="X250" s="2"/>
      <c r="Y250" s="2"/>
      <c r="Z250" s="2"/>
    </row>
    <row r="251" ht="15.75" customHeight="1">
      <c r="A251" s="3">
        <v>46416.0</v>
      </c>
      <c r="B251" s="4" t="str">
        <f t="shared" si="1"/>
        <v>Sem 36</v>
      </c>
      <c r="C251" s="4" t="str">
        <f t="shared" si="2"/>
        <v>Viernes</v>
      </c>
      <c r="D251" s="11"/>
      <c r="E251" s="11"/>
      <c r="F251" s="11"/>
      <c r="G251" s="6" t="str">
        <f t="shared" si="3"/>
        <v/>
      </c>
      <c r="H251" s="11"/>
      <c r="I251" s="6" t="str">
        <f t="shared" si="4"/>
        <v/>
      </c>
      <c r="J251" s="11"/>
      <c r="K251" s="6" t="str">
        <f t="shared" si="5"/>
        <v/>
      </c>
      <c r="L251" s="11"/>
      <c r="M251" s="6" t="str">
        <f t="shared" si="6"/>
        <v/>
      </c>
      <c r="N251" s="11"/>
      <c r="O251" s="6" t="str">
        <f t="shared" si="7"/>
        <v/>
      </c>
      <c r="P251" s="12"/>
      <c r="Q251" s="8" t="str">
        <f>IF(P251="","",P251*'Config  Metas'!$B$10)</f>
        <v/>
      </c>
      <c r="R251" s="4" t="str">
        <f>IF(COUNTA(D251,E251,F251,H251,J251,L251,N251,P251)=0,"",IF(AND(D251&gt;0,E251/D251&lt;'Config  Metas'!$B$8),"🚨 COBERTURA DE LLAMADOS BAJA",IF(G251&lt;'Config  Metas'!$B$2,"🚨 CONTACTO BAJO",IF(I251&lt;'Config  Metas'!$B$3,"🚨 AGENDAMIENTO BAJO",IF(K251&lt;'Config  Metas'!$B$4,"⚠️ SHOW BAJO",IF(M251&lt;'Config  Metas'!$B$5,"🚨 RESERVA BAJA",IF(O251&lt;'Config  Metas'!$B$6,"🚨 CIERRE BAJO",IF(P251&lt;D251*'Config  Metas'!$B$15*'Config  Metas'!$B$9,"🔻 UF BAJO RITMO DINÁMICO","✅ DÍA SOBRE RITMO"))))))))</f>
        <v/>
      </c>
      <c r="S251" s="10"/>
      <c r="T251" s="10"/>
      <c r="U251" s="2"/>
      <c r="V251" s="2"/>
      <c r="W251" s="2"/>
      <c r="X251" s="2"/>
      <c r="Y251" s="2"/>
      <c r="Z251" s="2"/>
    </row>
    <row r="252" ht="15.75" customHeight="1">
      <c r="A252" s="3">
        <v>46417.0</v>
      </c>
      <c r="B252" s="4" t="str">
        <f t="shared" si="1"/>
        <v>Sem 36</v>
      </c>
      <c r="C252" s="4" t="str">
        <f t="shared" si="2"/>
        <v>Sábado</v>
      </c>
      <c r="D252" s="11"/>
      <c r="E252" s="11"/>
      <c r="F252" s="11"/>
      <c r="G252" s="6" t="str">
        <f t="shared" si="3"/>
        <v/>
      </c>
      <c r="H252" s="11"/>
      <c r="I252" s="6" t="str">
        <f t="shared" si="4"/>
        <v/>
      </c>
      <c r="J252" s="11"/>
      <c r="K252" s="6" t="str">
        <f t="shared" si="5"/>
        <v/>
      </c>
      <c r="L252" s="11"/>
      <c r="M252" s="6" t="str">
        <f t="shared" si="6"/>
        <v/>
      </c>
      <c r="N252" s="11"/>
      <c r="O252" s="6" t="str">
        <f t="shared" si="7"/>
        <v/>
      </c>
      <c r="P252" s="12"/>
      <c r="Q252" s="8" t="str">
        <f>IF(P252="","",P252*'Config  Metas'!$B$10)</f>
        <v/>
      </c>
      <c r="R252" s="4" t="str">
        <f>IF(COUNTA(D252,E252,F252,H252,J252,L252,N252,P252)=0,"",IF(AND(D252&gt;0,E252/D252&lt;'Config  Metas'!$B$8),"🚨 COBERTURA DE LLAMADOS BAJA",IF(G252&lt;'Config  Metas'!$B$2,"🚨 CONTACTO BAJO",IF(I252&lt;'Config  Metas'!$B$3,"🚨 AGENDAMIENTO BAJO",IF(K252&lt;'Config  Metas'!$B$4,"⚠️ SHOW BAJO",IF(M252&lt;'Config  Metas'!$B$5,"🚨 RESERVA BAJA",IF(O252&lt;'Config  Metas'!$B$6,"🚨 CIERRE BAJO",IF(P252&lt;D252*'Config  Metas'!$B$15*'Config  Metas'!$B$9,"🔻 UF BAJO RITMO DINÁMICO","✅ DÍA SOBRE RITMO"))))))))</f>
        <v/>
      </c>
      <c r="S252" s="10"/>
      <c r="T252" s="10"/>
      <c r="U252" s="2"/>
      <c r="V252" s="2"/>
      <c r="W252" s="2"/>
      <c r="X252" s="2"/>
      <c r="Y252" s="2"/>
      <c r="Z252" s="2"/>
    </row>
    <row r="253" ht="15.75" customHeight="1">
      <c r="A253" s="3">
        <v>46418.0</v>
      </c>
      <c r="B253" s="4" t="str">
        <f t="shared" si="1"/>
        <v>Sem 36</v>
      </c>
      <c r="C253" s="4" t="str">
        <f t="shared" si="2"/>
        <v>Domingo</v>
      </c>
      <c r="D253" s="11"/>
      <c r="E253" s="11"/>
      <c r="F253" s="11"/>
      <c r="G253" s="6" t="str">
        <f t="shared" si="3"/>
        <v/>
      </c>
      <c r="H253" s="11"/>
      <c r="I253" s="6" t="str">
        <f t="shared" si="4"/>
        <v/>
      </c>
      <c r="J253" s="11"/>
      <c r="K253" s="6" t="str">
        <f t="shared" si="5"/>
        <v/>
      </c>
      <c r="L253" s="11"/>
      <c r="M253" s="6" t="str">
        <f t="shared" si="6"/>
        <v/>
      </c>
      <c r="N253" s="11"/>
      <c r="O253" s="6" t="str">
        <f t="shared" si="7"/>
        <v/>
      </c>
      <c r="P253" s="12"/>
      <c r="Q253" s="8" t="str">
        <f>IF(P253="","",P253*'Config  Metas'!$B$10)</f>
        <v/>
      </c>
      <c r="R253" s="4" t="str">
        <f>IF(COUNTA(D253,E253,F253,H253,J253,L253,N253,P253)=0,"",IF(AND(D253&gt;0,E253/D253&lt;'Config  Metas'!$B$8),"🚨 COBERTURA DE LLAMADOS BAJA",IF(G253&lt;'Config  Metas'!$B$2,"🚨 CONTACTO BAJO",IF(I253&lt;'Config  Metas'!$B$3,"🚨 AGENDAMIENTO BAJO",IF(K253&lt;'Config  Metas'!$B$4,"⚠️ SHOW BAJO",IF(M253&lt;'Config  Metas'!$B$5,"🚨 RESERVA BAJA",IF(O253&lt;'Config  Metas'!$B$6,"🚨 CIERRE BAJO",IF(P253&lt;D253*'Config  Metas'!$B$15*'Config  Metas'!$B$9,"🔻 UF BAJO RITMO DINÁMICO","✅ DÍA SOBRE RITMO"))))))))</f>
        <v/>
      </c>
      <c r="S253" s="10"/>
      <c r="T253" s="10"/>
      <c r="U253" s="2"/>
      <c r="V253" s="2"/>
      <c r="W253" s="2"/>
      <c r="X253" s="2"/>
      <c r="Y253" s="2"/>
      <c r="Z253" s="2"/>
    </row>
    <row r="254" ht="15.75" customHeight="1">
      <c r="A254" s="3">
        <v>46419.0</v>
      </c>
      <c r="B254" s="4" t="str">
        <f t="shared" si="1"/>
        <v>Sem 37</v>
      </c>
      <c r="C254" s="4" t="str">
        <f t="shared" si="2"/>
        <v>Lunes</v>
      </c>
      <c r="D254" s="11"/>
      <c r="E254" s="11"/>
      <c r="F254" s="11"/>
      <c r="G254" s="6" t="str">
        <f t="shared" si="3"/>
        <v/>
      </c>
      <c r="H254" s="11"/>
      <c r="I254" s="6" t="str">
        <f t="shared" si="4"/>
        <v/>
      </c>
      <c r="J254" s="11"/>
      <c r="K254" s="6" t="str">
        <f t="shared" si="5"/>
        <v/>
      </c>
      <c r="L254" s="11"/>
      <c r="M254" s="6" t="str">
        <f t="shared" si="6"/>
        <v/>
      </c>
      <c r="N254" s="11"/>
      <c r="O254" s="6" t="str">
        <f t="shared" si="7"/>
        <v/>
      </c>
      <c r="P254" s="12"/>
      <c r="Q254" s="8" t="str">
        <f>IF(P254="","",P254*'Config  Metas'!$B$10)</f>
        <v/>
      </c>
      <c r="R254" s="4" t="str">
        <f>IF(COUNTA(D254,E254,F254,H254,J254,L254,N254,P254)=0,"",IF(AND(D254&gt;0,E254/D254&lt;'Config  Metas'!$B$8),"🚨 COBERTURA DE LLAMADOS BAJA",IF(G254&lt;'Config  Metas'!$B$2,"🚨 CONTACTO BAJO",IF(I254&lt;'Config  Metas'!$B$3,"🚨 AGENDAMIENTO BAJO",IF(K254&lt;'Config  Metas'!$B$4,"⚠️ SHOW BAJO",IF(M254&lt;'Config  Metas'!$B$5,"🚨 RESERVA BAJA",IF(O254&lt;'Config  Metas'!$B$6,"🚨 CIERRE BAJO",IF(P254&lt;D254*'Config  Metas'!$B$15*'Config  Metas'!$B$9,"🔻 UF BAJO RITMO DINÁMICO","✅ DÍA SOBRE RITMO"))))))))</f>
        <v/>
      </c>
      <c r="S254" s="10"/>
      <c r="T254" s="10"/>
      <c r="U254" s="2"/>
      <c r="V254" s="2"/>
      <c r="W254" s="2"/>
      <c r="X254" s="2"/>
      <c r="Y254" s="2"/>
      <c r="Z254" s="2"/>
    </row>
    <row r="255" ht="15.75" customHeight="1">
      <c r="A255" s="3">
        <v>46420.0</v>
      </c>
      <c r="B255" s="4" t="str">
        <f t="shared" si="1"/>
        <v>Sem 37</v>
      </c>
      <c r="C255" s="4" t="str">
        <f t="shared" si="2"/>
        <v>Martes</v>
      </c>
      <c r="D255" s="11"/>
      <c r="E255" s="11"/>
      <c r="F255" s="11"/>
      <c r="G255" s="6" t="str">
        <f t="shared" si="3"/>
        <v/>
      </c>
      <c r="H255" s="11"/>
      <c r="I255" s="6" t="str">
        <f t="shared" si="4"/>
        <v/>
      </c>
      <c r="J255" s="11"/>
      <c r="K255" s="6" t="str">
        <f t="shared" si="5"/>
        <v/>
      </c>
      <c r="L255" s="11"/>
      <c r="M255" s="6" t="str">
        <f t="shared" si="6"/>
        <v/>
      </c>
      <c r="N255" s="11"/>
      <c r="O255" s="6" t="str">
        <f t="shared" si="7"/>
        <v/>
      </c>
      <c r="P255" s="12"/>
      <c r="Q255" s="8" t="str">
        <f>IF(P255="","",P255*'Config  Metas'!$B$10)</f>
        <v/>
      </c>
      <c r="R255" s="4" t="str">
        <f>IF(COUNTA(D255,E255,F255,H255,J255,L255,N255,P255)=0,"",IF(AND(D255&gt;0,E255/D255&lt;'Config  Metas'!$B$8),"🚨 COBERTURA DE LLAMADOS BAJA",IF(G255&lt;'Config  Metas'!$B$2,"🚨 CONTACTO BAJO",IF(I255&lt;'Config  Metas'!$B$3,"🚨 AGENDAMIENTO BAJO",IF(K255&lt;'Config  Metas'!$B$4,"⚠️ SHOW BAJO",IF(M255&lt;'Config  Metas'!$B$5,"🚨 RESERVA BAJA",IF(O255&lt;'Config  Metas'!$B$6,"🚨 CIERRE BAJO",IF(P255&lt;D255*'Config  Metas'!$B$15*'Config  Metas'!$B$9,"🔻 UF BAJO RITMO DINÁMICO","✅ DÍA SOBRE RITMO"))))))))</f>
        <v/>
      </c>
      <c r="S255" s="10"/>
      <c r="T255" s="10"/>
      <c r="U255" s="2"/>
      <c r="V255" s="2"/>
      <c r="W255" s="2"/>
      <c r="X255" s="2"/>
      <c r="Y255" s="2"/>
      <c r="Z255" s="2"/>
    </row>
    <row r="256" ht="15.75" customHeight="1">
      <c r="A256" s="3">
        <v>46421.0</v>
      </c>
      <c r="B256" s="4" t="str">
        <f t="shared" si="1"/>
        <v>Sem 37</v>
      </c>
      <c r="C256" s="4" t="str">
        <f t="shared" si="2"/>
        <v>Miércoles</v>
      </c>
      <c r="D256" s="11"/>
      <c r="E256" s="11"/>
      <c r="F256" s="11"/>
      <c r="G256" s="6" t="str">
        <f t="shared" si="3"/>
        <v/>
      </c>
      <c r="H256" s="11"/>
      <c r="I256" s="6" t="str">
        <f t="shared" si="4"/>
        <v/>
      </c>
      <c r="J256" s="11"/>
      <c r="K256" s="6" t="str">
        <f t="shared" si="5"/>
        <v/>
      </c>
      <c r="L256" s="11"/>
      <c r="M256" s="6" t="str">
        <f t="shared" si="6"/>
        <v/>
      </c>
      <c r="N256" s="11"/>
      <c r="O256" s="6" t="str">
        <f t="shared" si="7"/>
        <v/>
      </c>
      <c r="P256" s="12"/>
      <c r="Q256" s="8" t="str">
        <f>IF(P256="","",P256*'Config  Metas'!$B$10)</f>
        <v/>
      </c>
      <c r="R256" s="4" t="str">
        <f>IF(COUNTA(D256,E256,F256,H256,J256,L256,N256,P256)=0,"",IF(AND(D256&gt;0,E256/D256&lt;'Config  Metas'!$B$8),"🚨 COBERTURA DE LLAMADOS BAJA",IF(G256&lt;'Config  Metas'!$B$2,"🚨 CONTACTO BAJO",IF(I256&lt;'Config  Metas'!$B$3,"🚨 AGENDAMIENTO BAJO",IF(K256&lt;'Config  Metas'!$B$4,"⚠️ SHOW BAJO",IF(M256&lt;'Config  Metas'!$B$5,"🚨 RESERVA BAJA",IF(O256&lt;'Config  Metas'!$B$6,"🚨 CIERRE BAJO",IF(P256&lt;D256*'Config  Metas'!$B$15*'Config  Metas'!$B$9,"🔻 UF BAJO RITMO DINÁMICO","✅ DÍA SOBRE RITMO"))))))))</f>
        <v/>
      </c>
      <c r="S256" s="10"/>
      <c r="T256" s="10"/>
      <c r="U256" s="2"/>
      <c r="V256" s="2"/>
      <c r="W256" s="2"/>
      <c r="X256" s="2"/>
      <c r="Y256" s="2"/>
      <c r="Z256" s="2"/>
    </row>
    <row r="257" ht="15.75" customHeight="1">
      <c r="A257" s="3">
        <v>46422.0</v>
      </c>
      <c r="B257" s="4" t="str">
        <f t="shared" si="1"/>
        <v>Sem 37</v>
      </c>
      <c r="C257" s="4" t="str">
        <f t="shared" si="2"/>
        <v>Jueves</v>
      </c>
      <c r="D257" s="11"/>
      <c r="E257" s="11"/>
      <c r="F257" s="11"/>
      <c r="G257" s="6" t="str">
        <f t="shared" si="3"/>
        <v/>
      </c>
      <c r="H257" s="11"/>
      <c r="I257" s="6" t="str">
        <f t="shared" si="4"/>
        <v/>
      </c>
      <c r="J257" s="11"/>
      <c r="K257" s="6" t="str">
        <f t="shared" si="5"/>
        <v/>
      </c>
      <c r="L257" s="11"/>
      <c r="M257" s="6" t="str">
        <f t="shared" si="6"/>
        <v/>
      </c>
      <c r="N257" s="11"/>
      <c r="O257" s="6" t="str">
        <f t="shared" si="7"/>
        <v/>
      </c>
      <c r="P257" s="12"/>
      <c r="Q257" s="8" t="str">
        <f>IF(P257="","",P257*'Config  Metas'!$B$10)</f>
        <v/>
      </c>
      <c r="R257" s="4" t="str">
        <f>IF(COUNTA(D257,E257,F257,H257,J257,L257,N257,P257)=0,"",IF(AND(D257&gt;0,E257/D257&lt;'Config  Metas'!$B$8),"🚨 COBERTURA DE LLAMADOS BAJA",IF(G257&lt;'Config  Metas'!$B$2,"🚨 CONTACTO BAJO",IF(I257&lt;'Config  Metas'!$B$3,"🚨 AGENDAMIENTO BAJO",IF(K257&lt;'Config  Metas'!$B$4,"⚠️ SHOW BAJO",IF(M257&lt;'Config  Metas'!$B$5,"🚨 RESERVA BAJA",IF(O257&lt;'Config  Metas'!$B$6,"🚨 CIERRE BAJO",IF(P257&lt;D257*'Config  Metas'!$B$15*'Config  Metas'!$B$9,"🔻 UF BAJO RITMO DINÁMICO","✅ DÍA SOBRE RITMO"))))))))</f>
        <v/>
      </c>
      <c r="S257" s="10"/>
      <c r="T257" s="10"/>
      <c r="U257" s="2"/>
      <c r="V257" s="2"/>
      <c r="W257" s="2"/>
      <c r="X257" s="2"/>
      <c r="Y257" s="2"/>
      <c r="Z257" s="2"/>
    </row>
    <row r="258" ht="15.75" customHeight="1">
      <c r="A258" s="3">
        <v>46423.0</v>
      </c>
      <c r="B258" s="4" t="str">
        <f t="shared" si="1"/>
        <v>Sem 37</v>
      </c>
      <c r="C258" s="4" t="str">
        <f t="shared" si="2"/>
        <v>Viernes</v>
      </c>
      <c r="D258" s="11"/>
      <c r="E258" s="11"/>
      <c r="F258" s="11"/>
      <c r="G258" s="6" t="str">
        <f t="shared" si="3"/>
        <v/>
      </c>
      <c r="H258" s="11"/>
      <c r="I258" s="6" t="str">
        <f t="shared" si="4"/>
        <v/>
      </c>
      <c r="J258" s="11"/>
      <c r="K258" s="6" t="str">
        <f t="shared" si="5"/>
        <v/>
      </c>
      <c r="L258" s="11"/>
      <c r="M258" s="6" t="str">
        <f t="shared" si="6"/>
        <v/>
      </c>
      <c r="N258" s="11"/>
      <c r="O258" s="6" t="str">
        <f t="shared" si="7"/>
        <v/>
      </c>
      <c r="P258" s="12"/>
      <c r="Q258" s="8" t="str">
        <f>IF(P258="","",P258*'Config  Metas'!$B$10)</f>
        <v/>
      </c>
      <c r="R258" s="4" t="str">
        <f>IF(COUNTA(D258,E258,F258,H258,J258,L258,N258,P258)=0,"",IF(AND(D258&gt;0,E258/D258&lt;'Config  Metas'!$B$8),"🚨 COBERTURA DE LLAMADOS BAJA",IF(G258&lt;'Config  Metas'!$B$2,"🚨 CONTACTO BAJO",IF(I258&lt;'Config  Metas'!$B$3,"🚨 AGENDAMIENTO BAJO",IF(K258&lt;'Config  Metas'!$B$4,"⚠️ SHOW BAJO",IF(M258&lt;'Config  Metas'!$B$5,"🚨 RESERVA BAJA",IF(O258&lt;'Config  Metas'!$B$6,"🚨 CIERRE BAJO",IF(P258&lt;D258*'Config  Metas'!$B$15*'Config  Metas'!$B$9,"🔻 UF BAJO RITMO DINÁMICO","✅ DÍA SOBRE RITMO"))))))))</f>
        <v/>
      </c>
      <c r="S258" s="10"/>
      <c r="T258" s="10"/>
      <c r="U258" s="2"/>
      <c r="V258" s="2"/>
      <c r="W258" s="2"/>
      <c r="X258" s="2"/>
      <c r="Y258" s="2"/>
      <c r="Z258" s="2"/>
    </row>
    <row r="259" ht="15.75" customHeight="1">
      <c r="A259" s="3">
        <v>46424.0</v>
      </c>
      <c r="B259" s="4" t="str">
        <f t="shared" si="1"/>
        <v>Sem 37</v>
      </c>
      <c r="C259" s="4" t="str">
        <f t="shared" si="2"/>
        <v>Sábado</v>
      </c>
      <c r="D259" s="11"/>
      <c r="E259" s="11"/>
      <c r="F259" s="11"/>
      <c r="G259" s="6" t="str">
        <f t="shared" si="3"/>
        <v/>
      </c>
      <c r="H259" s="11"/>
      <c r="I259" s="6" t="str">
        <f t="shared" si="4"/>
        <v/>
      </c>
      <c r="J259" s="11"/>
      <c r="K259" s="6" t="str">
        <f t="shared" si="5"/>
        <v/>
      </c>
      <c r="L259" s="11"/>
      <c r="M259" s="6" t="str">
        <f t="shared" si="6"/>
        <v/>
      </c>
      <c r="N259" s="11"/>
      <c r="O259" s="6" t="str">
        <f t="shared" si="7"/>
        <v/>
      </c>
      <c r="P259" s="12"/>
      <c r="Q259" s="8" t="str">
        <f>IF(P259="","",P259*'Config  Metas'!$B$10)</f>
        <v/>
      </c>
      <c r="R259" s="4" t="str">
        <f>IF(COUNTA(D259,E259,F259,H259,J259,L259,N259,P259)=0,"",IF(AND(D259&gt;0,E259/D259&lt;'Config  Metas'!$B$8),"🚨 COBERTURA DE LLAMADOS BAJA",IF(G259&lt;'Config  Metas'!$B$2,"🚨 CONTACTO BAJO",IF(I259&lt;'Config  Metas'!$B$3,"🚨 AGENDAMIENTO BAJO",IF(K259&lt;'Config  Metas'!$B$4,"⚠️ SHOW BAJO",IF(M259&lt;'Config  Metas'!$B$5,"🚨 RESERVA BAJA",IF(O259&lt;'Config  Metas'!$B$6,"🚨 CIERRE BAJO",IF(P259&lt;D259*'Config  Metas'!$B$15*'Config  Metas'!$B$9,"🔻 UF BAJO RITMO DINÁMICO","✅ DÍA SOBRE RITMO"))))))))</f>
        <v/>
      </c>
      <c r="S259" s="10"/>
      <c r="T259" s="10"/>
      <c r="U259" s="2"/>
      <c r="V259" s="2"/>
      <c r="W259" s="2"/>
      <c r="X259" s="2"/>
      <c r="Y259" s="2"/>
      <c r="Z259" s="2"/>
    </row>
    <row r="260" ht="15.75" customHeight="1">
      <c r="A260" s="3">
        <v>46425.0</v>
      </c>
      <c r="B260" s="4" t="str">
        <f t="shared" si="1"/>
        <v>Sem 37</v>
      </c>
      <c r="C260" s="4" t="str">
        <f t="shared" si="2"/>
        <v>Domingo</v>
      </c>
      <c r="D260" s="11"/>
      <c r="E260" s="11"/>
      <c r="F260" s="11"/>
      <c r="G260" s="6" t="str">
        <f t="shared" si="3"/>
        <v/>
      </c>
      <c r="H260" s="11"/>
      <c r="I260" s="6" t="str">
        <f t="shared" si="4"/>
        <v/>
      </c>
      <c r="J260" s="11"/>
      <c r="K260" s="6" t="str">
        <f t="shared" si="5"/>
        <v/>
      </c>
      <c r="L260" s="11"/>
      <c r="M260" s="6" t="str">
        <f t="shared" si="6"/>
        <v/>
      </c>
      <c r="N260" s="11"/>
      <c r="O260" s="6" t="str">
        <f t="shared" si="7"/>
        <v/>
      </c>
      <c r="P260" s="12"/>
      <c r="Q260" s="8" t="str">
        <f>IF(P260="","",P260*'Config  Metas'!$B$10)</f>
        <v/>
      </c>
      <c r="R260" s="4" t="str">
        <f>IF(COUNTA(D260,E260,F260,H260,J260,L260,N260,P260)=0,"",IF(AND(D260&gt;0,E260/D260&lt;'Config  Metas'!$B$8),"🚨 COBERTURA DE LLAMADOS BAJA",IF(G260&lt;'Config  Metas'!$B$2,"🚨 CONTACTO BAJO",IF(I260&lt;'Config  Metas'!$B$3,"🚨 AGENDAMIENTO BAJO",IF(K260&lt;'Config  Metas'!$B$4,"⚠️ SHOW BAJO",IF(M260&lt;'Config  Metas'!$B$5,"🚨 RESERVA BAJA",IF(O260&lt;'Config  Metas'!$B$6,"🚨 CIERRE BAJO",IF(P260&lt;D260*'Config  Metas'!$B$15*'Config  Metas'!$B$9,"🔻 UF BAJO RITMO DINÁMICO","✅ DÍA SOBRE RITMO"))))))))</f>
        <v/>
      </c>
      <c r="S260" s="10"/>
      <c r="T260" s="10"/>
      <c r="U260" s="2"/>
      <c r="V260" s="2"/>
      <c r="W260" s="2"/>
      <c r="X260" s="2"/>
      <c r="Y260" s="2"/>
      <c r="Z260" s="2"/>
    </row>
    <row r="261" ht="15.75" customHeight="1">
      <c r="A261" s="3">
        <v>46426.0</v>
      </c>
      <c r="B261" s="4" t="str">
        <f t="shared" si="1"/>
        <v>Sem 38</v>
      </c>
      <c r="C261" s="4" t="str">
        <f t="shared" si="2"/>
        <v>Lunes</v>
      </c>
      <c r="D261" s="11"/>
      <c r="E261" s="11"/>
      <c r="F261" s="11"/>
      <c r="G261" s="6" t="str">
        <f t="shared" si="3"/>
        <v/>
      </c>
      <c r="H261" s="11"/>
      <c r="I261" s="6" t="str">
        <f t="shared" si="4"/>
        <v/>
      </c>
      <c r="J261" s="11"/>
      <c r="K261" s="6" t="str">
        <f t="shared" si="5"/>
        <v/>
      </c>
      <c r="L261" s="11"/>
      <c r="M261" s="6" t="str">
        <f t="shared" si="6"/>
        <v/>
      </c>
      <c r="N261" s="11"/>
      <c r="O261" s="6" t="str">
        <f t="shared" si="7"/>
        <v/>
      </c>
      <c r="P261" s="12"/>
      <c r="Q261" s="8" t="str">
        <f>IF(P261="","",P261*'Config  Metas'!$B$10)</f>
        <v/>
      </c>
      <c r="R261" s="4" t="str">
        <f>IF(COUNTA(D261,E261,F261,H261,J261,L261,N261,P261)=0,"",IF(AND(D261&gt;0,E261/D261&lt;'Config  Metas'!$B$8),"🚨 COBERTURA DE LLAMADOS BAJA",IF(G261&lt;'Config  Metas'!$B$2,"🚨 CONTACTO BAJO",IF(I261&lt;'Config  Metas'!$B$3,"🚨 AGENDAMIENTO BAJO",IF(K261&lt;'Config  Metas'!$B$4,"⚠️ SHOW BAJO",IF(M261&lt;'Config  Metas'!$B$5,"🚨 RESERVA BAJA",IF(O261&lt;'Config  Metas'!$B$6,"🚨 CIERRE BAJO",IF(P261&lt;D261*'Config  Metas'!$B$15*'Config  Metas'!$B$9,"🔻 UF BAJO RITMO DINÁMICO","✅ DÍA SOBRE RITMO"))))))))</f>
        <v/>
      </c>
      <c r="S261" s="10"/>
      <c r="T261" s="10"/>
      <c r="U261" s="2"/>
      <c r="V261" s="2"/>
      <c r="W261" s="2"/>
      <c r="X261" s="2"/>
      <c r="Y261" s="2"/>
      <c r="Z261" s="2"/>
    </row>
    <row r="262" ht="15.75" customHeight="1">
      <c r="A262" s="3">
        <v>46427.0</v>
      </c>
      <c r="B262" s="4" t="str">
        <f t="shared" si="1"/>
        <v>Sem 38</v>
      </c>
      <c r="C262" s="4" t="str">
        <f t="shared" si="2"/>
        <v>Martes</v>
      </c>
      <c r="D262" s="11"/>
      <c r="E262" s="11"/>
      <c r="F262" s="11"/>
      <c r="G262" s="6" t="str">
        <f t="shared" si="3"/>
        <v/>
      </c>
      <c r="H262" s="11"/>
      <c r="I262" s="6" t="str">
        <f t="shared" si="4"/>
        <v/>
      </c>
      <c r="J262" s="11"/>
      <c r="K262" s="6" t="str">
        <f t="shared" si="5"/>
        <v/>
      </c>
      <c r="L262" s="11"/>
      <c r="M262" s="6" t="str">
        <f t="shared" si="6"/>
        <v/>
      </c>
      <c r="N262" s="11"/>
      <c r="O262" s="6" t="str">
        <f t="shared" si="7"/>
        <v/>
      </c>
      <c r="P262" s="12"/>
      <c r="Q262" s="8" t="str">
        <f>IF(P262="","",P262*'Config  Metas'!$B$10)</f>
        <v/>
      </c>
      <c r="R262" s="4" t="str">
        <f>IF(COUNTA(D262,E262,F262,H262,J262,L262,N262,P262)=0,"",IF(AND(D262&gt;0,E262/D262&lt;'Config  Metas'!$B$8),"🚨 COBERTURA DE LLAMADOS BAJA",IF(G262&lt;'Config  Metas'!$B$2,"🚨 CONTACTO BAJO",IF(I262&lt;'Config  Metas'!$B$3,"🚨 AGENDAMIENTO BAJO",IF(K262&lt;'Config  Metas'!$B$4,"⚠️ SHOW BAJO",IF(M262&lt;'Config  Metas'!$B$5,"🚨 RESERVA BAJA",IF(O262&lt;'Config  Metas'!$B$6,"🚨 CIERRE BAJO",IF(P262&lt;D262*'Config  Metas'!$B$15*'Config  Metas'!$B$9,"🔻 UF BAJO RITMO DINÁMICO","✅ DÍA SOBRE RITMO"))))))))</f>
        <v/>
      </c>
      <c r="S262" s="10"/>
      <c r="T262" s="10"/>
      <c r="U262" s="2"/>
      <c r="V262" s="2"/>
      <c r="W262" s="2"/>
      <c r="X262" s="2"/>
      <c r="Y262" s="2"/>
      <c r="Z262" s="2"/>
    </row>
    <row r="263" ht="15.75" customHeight="1">
      <c r="A263" s="3">
        <v>46428.0</v>
      </c>
      <c r="B263" s="4" t="str">
        <f t="shared" si="1"/>
        <v>Sem 38</v>
      </c>
      <c r="C263" s="4" t="str">
        <f t="shared" si="2"/>
        <v>Miércoles</v>
      </c>
      <c r="D263" s="11"/>
      <c r="E263" s="11"/>
      <c r="F263" s="11"/>
      <c r="G263" s="6" t="str">
        <f t="shared" si="3"/>
        <v/>
      </c>
      <c r="H263" s="11"/>
      <c r="I263" s="6" t="str">
        <f t="shared" si="4"/>
        <v/>
      </c>
      <c r="J263" s="11"/>
      <c r="K263" s="6" t="str">
        <f t="shared" si="5"/>
        <v/>
      </c>
      <c r="L263" s="11"/>
      <c r="M263" s="6" t="str">
        <f t="shared" si="6"/>
        <v/>
      </c>
      <c r="N263" s="11"/>
      <c r="O263" s="6" t="str">
        <f t="shared" si="7"/>
        <v/>
      </c>
      <c r="P263" s="12"/>
      <c r="Q263" s="8" t="str">
        <f>IF(P263="","",P263*'Config  Metas'!$B$10)</f>
        <v/>
      </c>
      <c r="R263" s="4" t="str">
        <f>IF(COUNTA(D263,E263,F263,H263,J263,L263,N263,P263)=0,"",IF(AND(D263&gt;0,E263/D263&lt;'Config  Metas'!$B$8),"🚨 COBERTURA DE LLAMADOS BAJA",IF(G263&lt;'Config  Metas'!$B$2,"🚨 CONTACTO BAJO",IF(I263&lt;'Config  Metas'!$B$3,"🚨 AGENDAMIENTO BAJO",IF(K263&lt;'Config  Metas'!$B$4,"⚠️ SHOW BAJO",IF(M263&lt;'Config  Metas'!$B$5,"🚨 RESERVA BAJA",IF(O263&lt;'Config  Metas'!$B$6,"🚨 CIERRE BAJO",IF(P263&lt;D263*'Config  Metas'!$B$15*'Config  Metas'!$B$9,"🔻 UF BAJO RITMO DINÁMICO","✅ DÍA SOBRE RITMO"))))))))</f>
        <v/>
      </c>
      <c r="S263" s="10"/>
      <c r="T263" s="10"/>
      <c r="U263" s="2"/>
      <c r="V263" s="2"/>
      <c r="W263" s="2"/>
      <c r="X263" s="2"/>
      <c r="Y263" s="2"/>
      <c r="Z263" s="2"/>
    </row>
    <row r="264" ht="15.75" customHeight="1">
      <c r="A264" s="3">
        <v>46429.0</v>
      </c>
      <c r="B264" s="4" t="str">
        <f t="shared" si="1"/>
        <v>Sem 38</v>
      </c>
      <c r="C264" s="4" t="str">
        <f t="shared" si="2"/>
        <v>Jueves</v>
      </c>
      <c r="D264" s="11"/>
      <c r="E264" s="11"/>
      <c r="F264" s="11"/>
      <c r="G264" s="6" t="str">
        <f t="shared" si="3"/>
        <v/>
      </c>
      <c r="H264" s="11"/>
      <c r="I264" s="6" t="str">
        <f t="shared" si="4"/>
        <v/>
      </c>
      <c r="J264" s="11"/>
      <c r="K264" s="6" t="str">
        <f t="shared" si="5"/>
        <v/>
      </c>
      <c r="L264" s="11"/>
      <c r="M264" s="6" t="str">
        <f t="shared" si="6"/>
        <v/>
      </c>
      <c r="N264" s="11"/>
      <c r="O264" s="6" t="str">
        <f t="shared" si="7"/>
        <v/>
      </c>
      <c r="P264" s="12"/>
      <c r="Q264" s="8" t="str">
        <f>IF(P264="","",P264*'Config  Metas'!$B$10)</f>
        <v/>
      </c>
      <c r="R264" s="4" t="str">
        <f>IF(COUNTA(D264,E264,F264,H264,J264,L264,N264,P264)=0,"",IF(AND(D264&gt;0,E264/D264&lt;'Config  Metas'!$B$8),"🚨 COBERTURA DE LLAMADOS BAJA",IF(G264&lt;'Config  Metas'!$B$2,"🚨 CONTACTO BAJO",IF(I264&lt;'Config  Metas'!$B$3,"🚨 AGENDAMIENTO BAJO",IF(K264&lt;'Config  Metas'!$B$4,"⚠️ SHOW BAJO",IF(M264&lt;'Config  Metas'!$B$5,"🚨 RESERVA BAJA",IF(O264&lt;'Config  Metas'!$B$6,"🚨 CIERRE BAJO",IF(P264&lt;D264*'Config  Metas'!$B$15*'Config  Metas'!$B$9,"🔻 UF BAJO RITMO DINÁMICO","✅ DÍA SOBRE RITMO"))))))))</f>
        <v/>
      </c>
      <c r="S264" s="10"/>
      <c r="T264" s="10"/>
      <c r="U264" s="2"/>
      <c r="V264" s="2"/>
      <c r="W264" s="2"/>
      <c r="X264" s="2"/>
      <c r="Y264" s="2"/>
      <c r="Z264" s="2"/>
    </row>
    <row r="265" ht="15.75" customHeight="1">
      <c r="A265" s="3">
        <v>46430.0</v>
      </c>
      <c r="B265" s="4" t="str">
        <f t="shared" si="1"/>
        <v>Sem 38</v>
      </c>
      <c r="C265" s="4" t="str">
        <f t="shared" si="2"/>
        <v>Viernes</v>
      </c>
      <c r="D265" s="11"/>
      <c r="E265" s="11"/>
      <c r="F265" s="11"/>
      <c r="G265" s="6" t="str">
        <f t="shared" si="3"/>
        <v/>
      </c>
      <c r="H265" s="11"/>
      <c r="I265" s="6" t="str">
        <f t="shared" si="4"/>
        <v/>
      </c>
      <c r="J265" s="11"/>
      <c r="K265" s="6" t="str">
        <f t="shared" si="5"/>
        <v/>
      </c>
      <c r="L265" s="11"/>
      <c r="M265" s="6" t="str">
        <f t="shared" si="6"/>
        <v/>
      </c>
      <c r="N265" s="11"/>
      <c r="O265" s="6" t="str">
        <f t="shared" si="7"/>
        <v/>
      </c>
      <c r="P265" s="12"/>
      <c r="Q265" s="8" t="str">
        <f>IF(P265="","",P265*'Config  Metas'!$B$10)</f>
        <v/>
      </c>
      <c r="R265" s="4" t="str">
        <f>IF(COUNTA(D265,E265,F265,H265,J265,L265,N265,P265)=0,"",IF(AND(D265&gt;0,E265/D265&lt;'Config  Metas'!$B$8),"🚨 COBERTURA DE LLAMADOS BAJA",IF(G265&lt;'Config  Metas'!$B$2,"🚨 CONTACTO BAJO",IF(I265&lt;'Config  Metas'!$B$3,"🚨 AGENDAMIENTO BAJO",IF(K265&lt;'Config  Metas'!$B$4,"⚠️ SHOW BAJO",IF(M265&lt;'Config  Metas'!$B$5,"🚨 RESERVA BAJA",IF(O265&lt;'Config  Metas'!$B$6,"🚨 CIERRE BAJO",IF(P265&lt;D265*'Config  Metas'!$B$15*'Config  Metas'!$B$9,"🔻 UF BAJO RITMO DINÁMICO","✅ DÍA SOBRE RITMO"))))))))</f>
        <v/>
      </c>
      <c r="S265" s="10"/>
      <c r="T265" s="10"/>
      <c r="U265" s="2"/>
      <c r="V265" s="2"/>
      <c r="W265" s="2"/>
      <c r="X265" s="2"/>
      <c r="Y265" s="2"/>
      <c r="Z265" s="2"/>
    </row>
    <row r="266" ht="15.75" customHeight="1">
      <c r="A266" s="3">
        <v>46431.0</v>
      </c>
      <c r="B266" s="4" t="str">
        <f t="shared" si="1"/>
        <v>Sem 38</v>
      </c>
      <c r="C266" s="4" t="str">
        <f t="shared" si="2"/>
        <v>Sábado</v>
      </c>
      <c r="D266" s="11"/>
      <c r="E266" s="11"/>
      <c r="F266" s="11"/>
      <c r="G266" s="6" t="str">
        <f t="shared" si="3"/>
        <v/>
      </c>
      <c r="H266" s="11"/>
      <c r="I266" s="6" t="str">
        <f t="shared" si="4"/>
        <v/>
      </c>
      <c r="J266" s="11"/>
      <c r="K266" s="6" t="str">
        <f t="shared" si="5"/>
        <v/>
      </c>
      <c r="L266" s="11"/>
      <c r="M266" s="6" t="str">
        <f t="shared" si="6"/>
        <v/>
      </c>
      <c r="N266" s="11"/>
      <c r="O266" s="6" t="str">
        <f t="shared" si="7"/>
        <v/>
      </c>
      <c r="P266" s="12"/>
      <c r="Q266" s="8" t="str">
        <f>IF(P266="","",P266*'Config  Metas'!$B$10)</f>
        <v/>
      </c>
      <c r="R266" s="4" t="str">
        <f>IF(COUNTA(D266,E266,F266,H266,J266,L266,N266,P266)=0,"",IF(AND(D266&gt;0,E266/D266&lt;'Config  Metas'!$B$8),"🚨 COBERTURA DE LLAMADOS BAJA",IF(G266&lt;'Config  Metas'!$B$2,"🚨 CONTACTO BAJO",IF(I266&lt;'Config  Metas'!$B$3,"🚨 AGENDAMIENTO BAJO",IF(K266&lt;'Config  Metas'!$B$4,"⚠️ SHOW BAJO",IF(M266&lt;'Config  Metas'!$B$5,"🚨 RESERVA BAJA",IF(O266&lt;'Config  Metas'!$B$6,"🚨 CIERRE BAJO",IF(P266&lt;D266*'Config  Metas'!$B$15*'Config  Metas'!$B$9,"🔻 UF BAJO RITMO DINÁMICO","✅ DÍA SOBRE RITMO"))))))))</f>
        <v/>
      </c>
      <c r="S266" s="10"/>
      <c r="T266" s="10"/>
      <c r="U266" s="2"/>
      <c r="V266" s="2"/>
      <c r="W266" s="2"/>
      <c r="X266" s="2"/>
      <c r="Y266" s="2"/>
      <c r="Z266" s="2"/>
    </row>
    <row r="267" ht="15.75" customHeight="1">
      <c r="A267" s="3">
        <v>46432.0</v>
      </c>
      <c r="B267" s="4" t="str">
        <f t="shared" si="1"/>
        <v>Sem 38</v>
      </c>
      <c r="C267" s="4" t="str">
        <f t="shared" si="2"/>
        <v>Domingo</v>
      </c>
      <c r="D267" s="11"/>
      <c r="E267" s="11"/>
      <c r="F267" s="11"/>
      <c r="G267" s="6" t="str">
        <f t="shared" si="3"/>
        <v/>
      </c>
      <c r="H267" s="11"/>
      <c r="I267" s="6" t="str">
        <f t="shared" si="4"/>
        <v/>
      </c>
      <c r="J267" s="11"/>
      <c r="K267" s="6" t="str">
        <f t="shared" si="5"/>
        <v/>
      </c>
      <c r="L267" s="11"/>
      <c r="M267" s="6" t="str">
        <f t="shared" si="6"/>
        <v/>
      </c>
      <c r="N267" s="11"/>
      <c r="O267" s="6" t="str">
        <f t="shared" si="7"/>
        <v/>
      </c>
      <c r="P267" s="12"/>
      <c r="Q267" s="8" t="str">
        <f>IF(P267="","",P267*'Config  Metas'!$B$10)</f>
        <v/>
      </c>
      <c r="R267" s="4" t="str">
        <f>IF(COUNTA(D267,E267,F267,H267,J267,L267,N267,P267)=0,"",IF(AND(D267&gt;0,E267/D267&lt;'Config  Metas'!$B$8),"🚨 COBERTURA DE LLAMADOS BAJA",IF(G267&lt;'Config  Metas'!$B$2,"🚨 CONTACTO BAJO",IF(I267&lt;'Config  Metas'!$B$3,"🚨 AGENDAMIENTO BAJO",IF(K267&lt;'Config  Metas'!$B$4,"⚠️ SHOW BAJO",IF(M267&lt;'Config  Metas'!$B$5,"🚨 RESERVA BAJA",IF(O267&lt;'Config  Metas'!$B$6,"🚨 CIERRE BAJO",IF(P267&lt;D267*'Config  Metas'!$B$15*'Config  Metas'!$B$9,"🔻 UF BAJO RITMO DINÁMICO","✅ DÍA SOBRE RITMO"))))))))</f>
        <v/>
      </c>
      <c r="S267" s="10"/>
      <c r="T267" s="10"/>
      <c r="U267" s="2"/>
      <c r="V267" s="2"/>
      <c r="W267" s="2"/>
      <c r="X267" s="2"/>
      <c r="Y267" s="2"/>
      <c r="Z267" s="2"/>
    </row>
    <row r="268" ht="15.75" customHeight="1">
      <c r="A268" s="3">
        <v>46433.0</v>
      </c>
      <c r="B268" s="4" t="str">
        <f t="shared" si="1"/>
        <v>Sem 39</v>
      </c>
      <c r="C268" s="4" t="str">
        <f t="shared" si="2"/>
        <v>Lunes</v>
      </c>
      <c r="D268" s="11"/>
      <c r="E268" s="11"/>
      <c r="F268" s="11"/>
      <c r="G268" s="6" t="str">
        <f t="shared" si="3"/>
        <v/>
      </c>
      <c r="H268" s="11"/>
      <c r="I268" s="6" t="str">
        <f t="shared" si="4"/>
        <v/>
      </c>
      <c r="J268" s="11"/>
      <c r="K268" s="6" t="str">
        <f t="shared" si="5"/>
        <v/>
      </c>
      <c r="L268" s="11"/>
      <c r="M268" s="6" t="str">
        <f t="shared" si="6"/>
        <v/>
      </c>
      <c r="N268" s="11"/>
      <c r="O268" s="6" t="str">
        <f t="shared" si="7"/>
        <v/>
      </c>
      <c r="P268" s="12"/>
      <c r="Q268" s="8" t="str">
        <f>IF(P268="","",P268*'Config  Metas'!$B$10)</f>
        <v/>
      </c>
      <c r="R268" s="4" t="str">
        <f>IF(COUNTA(D268,E268,F268,H268,J268,L268,N268,P268)=0,"",IF(AND(D268&gt;0,E268/D268&lt;'Config  Metas'!$B$8),"🚨 COBERTURA DE LLAMADOS BAJA",IF(G268&lt;'Config  Metas'!$B$2,"🚨 CONTACTO BAJO",IF(I268&lt;'Config  Metas'!$B$3,"🚨 AGENDAMIENTO BAJO",IF(K268&lt;'Config  Metas'!$B$4,"⚠️ SHOW BAJO",IF(M268&lt;'Config  Metas'!$B$5,"🚨 RESERVA BAJA",IF(O268&lt;'Config  Metas'!$B$6,"🚨 CIERRE BAJO",IF(P268&lt;D268*'Config  Metas'!$B$15*'Config  Metas'!$B$9,"🔻 UF BAJO RITMO DINÁMICO","✅ DÍA SOBRE RITMO"))))))))</f>
        <v/>
      </c>
      <c r="S268" s="10"/>
      <c r="T268" s="10"/>
      <c r="U268" s="2"/>
      <c r="V268" s="2"/>
      <c r="W268" s="2"/>
      <c r="X268" s="2"/>
      <c r="Y268" s="2"/>
      <c r="Z268" s="2"/>
    </row>
    <row r="269" ht="15.75" customHeight="1">
      <c r="A269" s="3">
        <v>46434.0</v>
      </c>
      <c r="B269" s="4" t="str">
        <f t="shared" si="1"/>
        <v>Sem 39</v>
      </c>
      <c r="C269" s="4" t="str">
        <f t="shared" si="2"/>
        <v>Martes</v>
      </c>
      <c r="D269" s="11"/>
      <c r="E269" s="11"/>
      <c r="F269" s="11"/>
      <c r="G269" s="6" t="str">
        <f t="shared" si="3"/>
        <v/>
      </c>
      <c r="H269" s="11"/>
      <c r="I269" s="6" t="str">
        <f t="shared" si="4"/>
        <v/>
      </c>
      <c r="J269" s="11"/>
      <c r="K269" s="6" t="str">
        <f t="shared" si="5"/>
        <v/>
      </c>
      <c r="L269" s="11"/>
      <c r="M269" s="6" t="str">
        <f t="shared" si="6"/>
        <v/>
      </c>
      <c r="N269" s="11"/>
      <c r="O269" s="6" t="str">
        <f t="shared" si="7"/>
        <v/>
      </c>
      <c r="P269" s="12"/>
      <c r="Q269" s="8" t="str">
        <f>IF(P269="","",P269*'Config  Metas'!$B$10)</f>
        <v/>
      </c>
      <c r="R269" s="4" t="str">
        <f>IF(COUNTA(D269,E269,F269,H269,J269,L269,N269,P269)=0,"",IF(AND(D269&gt;0,E269/D269&lt;'Config  Metas'!$B$8),"🚨 COBERTURA DE LLAMADOS BAJA",IF(G269&lt;'Config  Metas'!$B$2,"🚨 CONTACTO BAJO",IF(I269&lt;'Config  Metas'!$B$3,"🚨 AGENDAMIENTO BAJO",IF(K269&lt;'Config  Metas'!$B$4,"⚠️ SHOW BAJO",IF(M269&lt;'Config  Metas'!$B$5,"🚨 RESERVA BAJA",IF(O269&lt;'Config  Metas'!$B$6,"🚨 CIERRE BAJO",IF(P269&lt;D269*'Config  Metas'!$B$15*'Config  Metas'!$B$9,"🔻 UF BAJO RITMO DINÁMICO","✅ DÍA SOBRE RITMO"))))))))</f>
        <v/>
      </c>
      <c r="S269" s="10"/>
      <c r="T269" s="10"/>
      <c r="U269" s="2"/>
      <c r="V269" s="2"/>
      <c r="W269" s="2"/>
      <c r="X269" s="2"/>
      <c r="Y269" s="2"/>
      <c r="Z269" s="2"/>
    </row>
    <row r="270" ht="15.75" customHeight="1">
      <c r="A270" s="3">
        <v>46435.0</v>
      </c>
      <c r="B270" s="4" t="str">
        <f t="shared" si="1"/>
        <v>Sem 39</v>
      </c>
      <c r="C270" s="4" t="str">
        <f t="shared" si="2"/>
        <v>Miércoles</v>
      </c>
      <c r="D270" s="11"/>
      <c r="E270" s="11"/>
      <c r="F270" s="11"/>
      <c r="G270" s="6" t="str">
        <f t="shared" si="3"/>
        <v/>
      </c>
      <c r="H270" s="11"/>
      <c r="I270" s="6" t="str">
        <f t="shared" si="4"/>
        <v/>
      </c>
      <c r="J270" s="11"/>
      <c r="K270" s="6" t="str">
        <f t="shared" si="5"/>
        <v/>
      </c>
      <c r="L270" s="11"/>
      <c r="M270" s="6" t="str">
        <f t="shared" si="6"/>
        <v/>
      </c>
      <c r="N270" s="11"/>
      <c r="O270" s="6" t="str">
        <f t="shared" si="7"/>
        <v/>
      </c>
      <c r="P270" s="12"/>
      <c r="Q270" s="8" t="str">
        <f>IF(P270="","",P270*'Config  Metas'!$B$10)</f>
        <v/>
      </c>
      <c r="R270" s="4" t="str">
        <f>IF(COUNTA(D270,E270,F270,H270,J270,L270,N270,P270)=0,"",IF(AND(D270&gt;0,E270/D270&lt;'Config  Metas'!$B$8),"🚨 COBERTURA DE LLAMADOS BAJA",IF(G270&lt;'Config  Metas'!$B$2,"🚨 CONTACTO BAJO",IF(I270&lt;'Config  Metas'!$B$3,"🚨 AGENDAMIENTO BAJO",IF(K270&lt;'Config  Metas'!$B$4,"⚠️ SHOW BAJO",IF(M270&lt;'Config  Metas'!$B$5,"🚨 RESERVA BAJA",IF(O270&lt;'Config  Metas'!$B$6,"🚨 CIERRE BAJO",IF(P270&lt;D270*'Config  Metas'!$B$15*'Config  Metas'!$B$9,"🔻 UF BAJO RITMO DINÁMICO","✅ DÍA SOBRE RITMO"))))))))</f>
        <v/>
      </c>
      <c r="S270" s="10"/>
      <c r="T270" s="10"/>
      <c r="U270" s="2"/>
      <c r="V270" s="2"/>
      <c r="W270" s="2"/>
      <c r="X270" s="2"/>
      <c r="Y270" s="2"/>
      <c r="Z270" s="2"/>
    </row>
    <row r="271" ht="15.75" customHeight="1">
      <c r="A271" s="3">
        <v>46436.0</v>
      </c>
      <c r="B271" s="4" t="str">
        <f t="shared" si="1"/>
        <v>Sem 39</v>
      </c>
      <c r="C271" s="4" t="str">
        <f t="shared" si="2"/>
        <v>Jueves</v>
      </c>
      <c r="D271" s="11"/>
      <c r="E271" s="11"/>
      <c r="F271" s="11"/>
      <c r="G271" s="6" t="str">
        <f t="shared" si="3"/>
        <v/>
      </c>
      <c r="H271" s="11"/>
      <c r="I271" s="6" t="str">
        <f t="shared" si="4"/>
        <v/>
      </c>
      <c r="J271" s="11"/>
      <c r="K271" s="6" t="str">
        <f t="shared" si="5"/>
        <v/>
      </c>
      <c r="L271" s="11"/>
      <c r="M271" s="6" t="str">
        <f t="shared" si="6"/>
        <v/>
      </c>
      <c r="N271" s="11"/>
      <c r="O271" s="6" t="str">
        <f t="shared" si="7"/>
        <v/>
      </c>
      <c r="P271" s="12"/>
      <c r="Q271" s="8" t="str">
        <f>IF(P271="","",P271*'Config  Metas'!$B$10)</f>
        <v/>
      </c>
      <c r="R271" s="4" t="str">
        <f>IF(COUNTA(D271,E271,F271,H271,J271,L271,N271,P271)=0,"",IF(AND(D271&gt;0,E271/D271&lt;'Config  Metas'!$B$8),"🚨 COBERTURA DE LLAMADOS BAJA",IF(G271&lt;'Config  Metas'!$B$2,"🚨 CONTACTO BAJO",IF(I271&lt;'Config  Metas'!$B$3,"🚨 AGENDAMIENTO BAJO",IF(K271&lt;'Config  Metas'!$B$4,"⚠️ SHOW BAJO",IF(M271&lt;'Config  Metas'!$B$5,"🚨 RESERVA BAJA",IF(O271&lt;'Config  Metas'!$B$6,"🚨 CIERRE BAJO",IF(P271&lt;D271*'Config  Metas'!$B$15*'Config  Metas'!$B$9,"🔻 UF BAJO RITMO DINÁMICO","✅ DÍA SOBRE RITMO"))))))))</f>
        <v/>
      </c>
      <c r="S271" s="10"/>
      <c r="T271" s="10"/>
      <c r="U271" s="2"/>
      <c r="V271" s="2"/>
      <c r="W271" s="2"/>
      <c r="X271" s="2"/>
      <c r="Y271" s="2"/>
      <c r="Z271" s="2"/>
    </row>
    <row r="272" ht="15.75" customHeight="1">
      <c r="A272" s="3">
        <v>46437.0</v>
      </c>
      <c r="B272" s="4" t="str">
        <f t="shared" si="1"/>
        <v>Sem 39</v>
      </c>
      <c r="C272" s="4" t="str">
        <f t="shared" si="2"/>
        <v>Viernes</v>
      </c>
      <c r="D272" s="11"/>
      <c r="E272" s="11"/>
      <c r="F272" s="11"/>
      <c r="G272" s="6" t="str">
        <f t="shared" si="3"/>
        <v/>
      </c>
      <c r="H272" s="11"/>
      <c r="I272" s="6" t="str">
        <f t="shared" si="4"/>
        <v/>
      </c>
      <c r="J272" s="11"/>
      <c r="K272" s="6" t="str">
        <f t="shared" si="5"/>
        <v/>
      </c>
      <c r="L272" s="11"/>
      <c r="M272" s="6" t="str">
        <f t="shared" si="6"/>
        <v/>
      </c>
      <c r="N272" s="11"/>
      <c r="O272" s="6" t="str">
        <f t="shared" si="7"/>
        <v/>
      </c>
      <c r="P272" s="12"/>
      <c r="Q272" s="8" t="str">
        <f>IF(P272="","",P272*'Config  Metas'!$B$10)</f>
        <v/>
      </c>
      <c r="R272" s="4" t="str">
        <f>IF(COUNTA(D272,E272,F272,H272,J272,L272,N272,P272)=0,"",IF(AND(D272&gt;0,E272/D272&lt;'Config  Metas'!$B$8),"🚨 COBERTURA DE LLAMADOS BAJA",IF(G272&lt;'Config  Metas'!$B$2,"🚨 CONTACTO BAJO",IF(I272&lt;'Config  Metas'!$B$3,"🚨 AGENDAMIENTO BAJO",IF(K272&lt;'Config  Metas'!$B$4,"⚠️ SHOW BAJO",IF(M272&lt;'Config  Metas'!$B$5,"🚨 RESERVA BAJA",IF(O272&lt;'Config  Metas'!$B$6,"🚨 CIERRE BAJO",IF(P272&lt;D272*'Config  Metas'!$B$15*'Config  Metas'!$B$9,"🔻 UF BAJO RITMO DINÁMICO","✅ DÍA SOBRE RITMO"))))))))</f>
        <v/>
      </c>
      <c r="S272" s="10"/>
      <c r="T272" s="10"/>
      <c r="U272" s="2"/>
      <c r="V272" s="2"/>
      <c r="W272" s="2"/>
      <c r="X272" s="2"/>
      <c r="Y272" s="2"/>
      <c r="Z272" s="2"/>
    </row>
    <row r="273" ht="15.75" customHeight="1">
      <c r="A273" s="3">
        <v>46438.0</v>
      </c>
      <c r="B273" s="4" t="str">
        <f t="shared" si="1"/>
        <v>Sem 39</v>
      </c>
      <c r="C273" s="4" t="str">
        <f t="shared" si="2"/>
        <v>Sábado</v>
      </c>
      <c r="D273" s="11"/>
      <c r="E273" s="11"/>
      <c r="F273" s="11"/>
      <c r="G273" s="6" t="str">
        <f t="shared" si="3"/>
        <v/>
      </c>
      <c r="H273" s="11"/>
      <c r="I273" s="6" t="str">
        <f t="shared" si="4"/>
        <v/>
      </c>
      <c r="J273" s="11"/>
      <c r="K273" s="6" t="str">
        <f t="shared" si="5"/>
        <v/>
      </c>
      <c r="L273" s="11"/>
      <c r="M273" s="6" t="str">
        <f t="shared" si="6"/>
        <v/>
      </c>
      <c r="N273" s="11"/>
      <c r="O273" s="6" t="str">
        <f t="shared" si="7"/>
        <v/>
      </c>
      <c r="P273" s="12"/>
      <c r="Q273" s="8" t="str">
        <f>IF(P273="","",P273*'Config  Metas'!$B$10)</f>
        <v/>
      </c>
      <c r="R273" s="4" t="str">
        <f>IF(COUNTA(D273,E273,F273,H273,J273,L273,N273,P273)=0,"",IF(AND(D273&gt;0,E273/D273&lt;'Config  Metas'!$B$8),"🚨 COBERTURA DE LLAMADOS BAJA",IF(G273&lt;'Config  Metas'!$B$2,"🚨 CONTACTO BAJO",IF(I273&lt;'Config  Metas'!$B$3,"🚨 AGENDAMIENTO BAJO",IF(K273&lt;'Config  Metas'!$B$4,"⚠️ SHOW BAJO",IF(M273&lt;'Config  Metas'!$B$5,"🚨 RESERVA BAJA",IF(O273&lt;'Config  Metas'!$B$6,"🚨 CIERRE BAJO",IF(P273&lt;D273*'Config  Metas'!$B$15*'Config  Metas'!$B$9,"🔻 UF BAJO RITMO DINÁMICO","✅ DÍA SOBRE RITMO"))))))))</f>
        <v/>
      </c>
      <c r="S273" s="10"/>
      <c r="T273" s="10"/>
      <c r="U273" s="2"/>
      <c r="V273" s="2"/>
      <c r="W273" s="2"/>
      <c r="X273" s="2"/>
      <c r="Y273" s="2"/>
      <c r="Z273" s="2"/>
    </row>
    <row r="274" ht="15.75" customHeight="1">
      <c r="A274" s="3">
        <v>46439.0</v>
      </c>
      <c r="B274" s="4" t="str">
        <f t="shared" si="1"/>
        <v>Sem 39</v>
      </c>
      <c r="C274" s="4" t="str">
        <f t="shared" si="2"/>
        <v>Domingo</v>
      </c>
      <c r="D274" s="11"/>
      <c r="E274" s="11"/>
      <c r="F274" s="11"/>
      <c r="G274" s="6" t="str">
        <f t="shared" si="3"/>
        <v/>
      </c>
      <c r="H274" s="11"/>
      <c r="I274" s="6" t="str">
        <f t="shared" si="4"/>
        <v/>
      </c>
      <c r="J274" s="11"/>
      <c r="K274" s="6" t="str">
        <f t="shared" si="5"/>
        <v/>
      </c>
      <c r="L274" s="11"/>
      <c r="M274" s="6" t="str">
        <f t="shared" si="6"/>
        <v/>
      </c>
      <c r="N274" s="11"/>
      <c r="O274" s="6" t="str">
        <f t="shared" si="7"/>
        <v/>
      </c>
      <c r="P274" s="12"/>
      <c r="Q274" s="8" t="str">
        <f>IF(P274="","",P274*'Config  Metas'!$B$10)</f>
        <v/>
      </c>
      <c r="R274" s="4" t="str">
        <f>IF(COUNTA(D274,E274,F274,H274,J274,L274,N274,P274)=0,"",IF(AND(D274&gt;0,E274/D274&lt;'Config  Metas'!$B$8),"🚨 COBERTURA DE LLAMADOS BAJA",IF(G274&lt;'Config  Metas'!$B$2,"🚨 CONTACTO BAJO",IF(I274&lt;'Config  Metas'!$B$3,"🚨 AGENDAMIENTO BAJO",IF(K274&lt;'Config  Metas'!$B$4,"⚠️ SHOW BAJO",IF(M274&lt;'Config  Metas'!$B$5,"🚨 RESERVA BAJA",IF(O274&lt;'Config  Metas'!$B$6,"🚨 CIERRE BAJO",IF(P274&lt;D274*'Config  Metas'!$B$15*'Config  Metas'!$B$9,"🔻 UF BAJO RITMO DINÁMICO","✅ DÍA SOBRE RITMO"))))))))</f>
        <v/>
      </c>
      <c r="S274" s="10"/>
      <c r="T274" s="10"/>
      <c r="U274" s="2"/>
      <c r="V274" s="2"/>
      <c r="W274" s="2"/>
      <c r="X274" s="2"/>
      <c r="Y274" s="2"/>
      <c r="Z274" s="2"/>
    </row>
    <row r="275" ht="15.75" customHeight="1">
      <c r="A275" s="3">
        <v>46440.0</v>
      </c>
      <c r="B275" s="4" t="str">
        <f t="shared" si="1"/>
        <v>Sem 40</v>
      </c>
      <c r="C275" s="4" t="str">
        <f t="shared" si="2"/>
        <v>Lunes</v>
      </c>
      <c r="D275" s="11"/>
      <c r="E275" s="11"/>
      <c r="F275" s="11"/>
      <c r="G275" s="6" t="str">
        <f t="shared" si="3"/>
        <v/>
      </c>
      <c r="H275" s="11"/>
      <c r="I275" s="6" t="str">
        <f t="shared" si="4"/>
        <v/>
      </c>
      <c r="J275" s="11"/>
      <c r="K275" s="6" t="str">
        <f t="shared" si="5"/>
        <v/>
      </c>
      <c r="L275" s="11"/>
      <c r="M275" s="6" t="str">
        <f t="shared" si="6"/>
        <v/>
      </c>
      <c r="N275" s="11"/>
      <c r="O275" s="6" t="str">
        <f t="shared" si="7"/>
        <v/>
      </c>
      <c r="P275" s="12"/>
      <c r="Q275" s="8" t="str">
        <f>IF(P275="","",P275*'Config  Metas'!$B$10)</f>
        <v/>
      </c>
      <c r="R275" s="4" t="str">
        <f>IF(COUNTA(D275,E275,F275,H275,J275,L275,N275,P275)=0,"",IF(AND(D275&gt;0,E275/D275&lt;'Config  Metas'!$B$8),"🚨 COBERTURA DE LLAMADOS BAJA",IF(G275&lt;'Config  Metas'!$B$2,"🚨 CONTACTO BAJO",IF(I275&lt;'Config  Metas'!$B$3,"🚨 AGENDAMIENTO BAJO",IF(K275&lt;'Config  Metas'!$B$4,"⚠️ SHOW BAJO",IF(M275&lt;'Config  Metas'!$B$5,"🚨 RESERVA BAJA",IF(O275&lt;'Config  Metas'!$B$6,"🚨 CIERRE BAJO",IF(P275&lt;D275*'Config  Metas'!$B$15*'Config  Metas'!$B$9,"🔻 UF BAJO RITMO DINÁMICO","✅ DÍA SOBRE RITMO"))))))))</f>
        <v/>
      </c>
      <c r="S275" s="10"/>
      <c r="T275" s="10"/>
      <c r="U275" s="2"/>
      <c r="V275" s="2"/>
      <c r="W275" s="2"/>
      <c r="X275" s="2"/>
      <c r="Y275" s="2"/>
      <c r="Z275" s="2"/>
    </row>
    <row r="276" ht="15.75" customHeight="1">
      <c r="A276" s="3">
        <v>46441.0</v>
      </c>
      <c r="B276" s="4" t="str">
        <f t="shared" si="1"/>
        <v>Sem 40</v>
      </c>
      <c r="C276" s="4" t="str">
        <f t="shared" si="2"/>
        <v>Martes</v>
      </c>
      <c r="D276" s="11"/>
      <c r="E276" s="11"/>
      <c r="F276" s="11"/>
      <c r="G276" s="6" t="str">
        <f t="shared" si="3"/>
        <v/>
      </c>
      <c r="H276" s="11"/>
      <c r="I276" s="6" t="str">
        <f t="shared" si="4"/>
        <v/>
      </c>
      <c r="J276" s="11"/>
      <c r="K276" s="6" t="str">
        <f t="shared" si="5"/>
        <v/>
      </c>
      <c r="L276" s="11"/>
      <c r="M276" s="6" t="str">
        <f t="shared" si="6"/>
        <v/>
      </c>
      <c r="N276" s="11"/>
      <c r="O276" s="6" t="str">
        <f t="shared" si="7"/>
        <v/>
      </c>
      <c r="P276" s="12"/>
      <c r="Q276" s="8" t="str">
        <f>IF(P276="","",P276*'Config  Metas'!$B$10)</f>
        <v/>
      </c>
      <c r="R276" s="4" t="str">
        <f>IF(COUNTA(D276,E276,F276,H276,J276,L276,N276,P276)=0,"",IF(AND(D276&gt;0,E276/D276&lt;'Config  Metas'!$B$8),"🚨 COBERTURA DE LLAMADOS BAJA",IF(G276&lt;'Config  Metas'!$B$2,"🚨 CONTACTO BAJO",IF(I276&lt;'Config  Metas'!$B$3,"🚨 AGENDAMIENTO BAJO",IF(K276&lt;'Config  Metas'!$B$4,"⚠️ SHOW BAJO",IF(M276&lt;'Config  Metas'!$B$5,"🚨 RESERVA BAJA",IF(O276&lt;'Config  Metas'!$B$6,"🚨 CIERRE BAJO",IF(P276&lt;D276*'Config  Metas'!$B$15*'Config  Metas'!$B$9,"🔻 UF BAJO RITMO DINÁMICO","✅ DÍA SOBRE RITMO"))))))))</f>
        <v/>
      </c>
      <c r="S276" s="10"/>
      <c r="T276" s="10"/>
      <c r="U276" s="2"/>
      <c r="V276" s="2"/>
      <c r="W276" s="2"/>
      <c r="X276" s="2"/>
      <c r="Y276" s="2"/>
      <c r="Z276" s="2"/>
    </row>
    <row r="277" ht="15.75" customHeight="1">
      <c r="A277" s="3">
        <v>46442.0</v>
      </c>
      <c r="B277" s="4" t="str">
        <f t="shared" si="1"/>
        <v>Sem 40</v>
      </c>
      <c r="C277" s="4" t="str">
        <f t="shared" si="2"/>
        <v>Miércoles</v>
      </c>
      <c r="D277" s="11"/>
      <c r="E277" s="11"/>
      <c r="F277" s="11"/>
      <c r="G277" s="6" t="str">
        <f t="shared" si="3"/>
        <v/>
      </c>
      <c r="H277" s="11"/>
      <c r="I277" s="6" t="str">
        <f t="shared" si="4"/>
        <v/>
      </c>
      <c r="J277" s="11"/>
      <c r="K277" s="6" t="str">
        <f t="shared" si="5"/>
        <v/>
      </c>
      <c r="L277" s="11"/>
      <c r="M277" s="6" t="str">
        <f t="shared" si="6"/>
        <v/>
      </c>
      <c r="N277" s="11"/>
      <c r="O277" s="6" t="str">
        <f t="shared" si="7"/>
        <v/>
      </c>
      <c r="P277" s="12"/>
      <c r="Q277" s="8" t="str">
        <f>IF(P277="","",P277*'Config  Metas'!$B$10)</f>
        <v/>
      </c>
      <c r="R277" s="4" t="str">
        <f>IF(COUNTA(D277,E277,F277,H277,J277,L277,N277,P277)=0,"",IF(AND(D277&gt;0,E277/D277&lt;'Config  Metas'!$B$8),"🚨 COBERTURA DE LLAMADOS BAJA",IF(G277&lt;'Config  Metas'!$B$2,"🚨 CONTACTO BAJO",IF(I277&lt;'Config  Metas'!$B$3,"🚨 AGENDAMIENTO BAJO",IF(K277&lt;'Config  Metas'!$B$4,"⚠️ SHOW BAJO",IF(M277&lt;'Config  Metas'!$B$5,"🚨 RESERVA BAJA",IF(O277&lt;'Config  Metas'!$B$6,"🚨 CIERRE BAJO",IF(P277&lt;D277*'Config  Metas'!$B$15*'Config  Metas'!$B$9,"🔻 UF BAJO RITMO DINÁMICO","✅ DÍA SOBRE RITMO"))))))))</f>
        <v/>
      </c>
      <c r="S277" s="10"/>
      <c r="T277" s="10"/>
      <c r="U277" s="2"/>
      <c r="V277" s="2"/>
      <c r="W277" s="2"/>
      <c r="X277" s="2"/>
      <c r="Y277" s="2"/>
      <c r="Z277" s="2"/>
    </row>
    <row r="278" ht="15.75" customHeight="1">
      <c r="A278" s="3">
        <v>46443.0</v>
      </c>
      <c r="B278" s="4" t="str">
        <f t="shared" si="1"/>
        <v>Sem 40</v>
      </c>
      <c r="C278" s="4" t="str">
        <f t="shared" si="2"/>
        <v>Jueves</v>
      </c>
      <c r="D278" s="11"/>
      <c r="E278" s="11"/>
      <c r="F278" s="11"/>
      <c r="G278" s="6" t="str">
        <f t="shared" si="3"/>
        <v/>
      </c>
      <c r="H278" s="11"/>
      <c r="I278" s="6" t="str">
        <f t="shared" si="4"/>
        <v/>
      </c>
      <c r="J278" s="11"/>
      <c r="K278" s="6" t="str">
        <f t="shared" si="5"/>
        <v/>
      </c>
      <c r="L278" s="11"/>
      <c r="M278" s="6" t="str">
        <f t="shared" si="6"/>
        <v/>
      </c>
      <c r="N278" s="11"/>
      <c r="O278" s="6" t="str">
        <f t="shared" si="7"/>
        <v/>
      </c>
      <c r="P278" s="12"/>
      <c r="Q278" s="8" t="str">
        <f>IF(P278="","",P278*'Config  Metas'!$B$10)</f>
        <v/>
      </c>
      <c r="R278" s="4" t="str">
        <f>IF(COUNTA(D278,E278,F278,H278,J278,L278,N278,P278)=0,"",IF(AND(D278&gt;0,E278/D278&lt;'Config  Metas'!$B$8),"🚨 COBERTURA DE LLAMADOS BAJA",IF(G278&lt;'Config  Metas'!$B$2,"🚨 CONTACTO BAJO",IF(I278&lt;'Config  Metas'!$B$3,"🚨 AGENDAMIENTO BAJO",IF(K278&lt;'Config  Metas'!$B$4,"⚠️ SHOW BAJO",IF(M278&lt;'Config  Metas'!$B$5,"🚨 RESERVA BAJA",IF(O278&lt;'Config  Metas'!$B$6,"🚨 CIERRE BAJO",IF(P278&lt;D278*'Config  Metas'!$B$15*'Config  Metas'!$B$9,"🔻 UF BAJO RITMO DINÁMICO","✅ DÍA SOBRE RITMO"))))))))</f>
        <v/>
      </c>
      <c r="S278" s="10"/>
      <c r="T278" s="10"/>
      <c r="U278" s="2"/>
      <c r="V278" s="2"/>
      <c r="W278" s="2"/>
      <c r="X278" s="2"/>
      <c r="Y278" s="2"/>
      <c r="Z278" s="2"/>
    </row>
    <row r="279" ht="15.75" customHeight="1">
      <c r="A279" s="3">
        <v>46444.0</v>
      </c>
      <c r="B279" s="4" t="str">
        <f t="shared" si="1"/>
        <v>Sem 40</v>
      </c>
      <c r="C279" s="4" t="str">
        <f t="shared" si="2"/>
        <v>Viernes</v>
      </c>
      <c r="D279" s="11"/>
      <c r="E279" s="11"/>
      <c r="F279" s="11"/>
      <c r="G279" s="6" t="str">
        <f t="shared" si="3"/>
        <v/>
      </c>
      <c r="H279" s="11"/>
      <c r="I279" s="6" t="str">
        <f t="shared" si="4"/>
        <v/>
      </c>
      <c r="J279" s="11"/>
      <c r="K279" s="6" t="str">
        <f t="shared" si="5"/>
        <v/>
      </c>
      <c r="L279" s="11"/>
      <c r="M279" s="6" t="str">
        <f t="shared" si="6"/>
        <v/>
      </c>
      <c r="N279" s="11"/>
      <c r="O279" s="6" t="str">
        <f t="shared" si="7"/>
        <v/>
      </c>
      <c r="P279" s="12"/>
      <c r="Q279" s="8" t="str">
        <f>IF(P279="","",P279*'Config  Metas'!$B$10)</f>
        <v/>
      </c>
      <c r="R279" s="4" t="str">
        <f>IF(COUNTA(D279,E279,F279,H279,J279,L279,N279,P279)=0,"",IF(AND(D279&gt;0,E279/D279&lt;'Config  Metas'!$B$8),"🚨 COBERTURA DE LLAMADOS BAJA",IF(G279&lt;'Config  Metas'!$B$2,"🚨 CONTACTO BAJO",IF(I279&lt;'Config  Metas'!$B$3,"🚨 AGENDAMIENTO BAJO",IF(K279&lt;'Config  Metas'!$B$4,"⚠️ SHOW BAJO",IF(M279&lt;'Config  Metas'!$B$5,"🚨 RESERVA BAJA",IF(O279&lt;'Config  Metas'!$B$6,"🚨 CIERRE BAJO",IF(P279&lt;D279*'Config  Metas'!$B$15*'Config  Metas'!$B$9,"🔻 UF BAJO RITMO DINÁMICO","✅ DÍA SOBRE RITMO"))))))))</f>
        <v/>
      </c>
      <c r="S279" s="10"/>
      <c r="T279" s="10"/>
      <c r="U279" s="2"/>
      <c r="V279" s="2"/>
      <c r="W279" s="2"/>
      <c r="X279" s="2"/>
      <c r="Y279" s="2"/>
      <c r="Z279" s="2"/>
    </row>
    <row r="280" ht="15.75" customHeight="1">
      <c r="A280" s="3">
        <v>46445.0</v>
      </c>
      <c r="B280" s="4" t="str">
        <f t="shared" si="1"/>
        <v>Sem 40</v>
      </c>
      <c r="C280" s="4" t="str">
        <f t="shared" si="2"/>
        <v>Sábado</v>
      </c>
      <c r="D280" s="11"/>
      <c r="E280" s="11"/>
      <c r="F280" s="11"/>
      <c r="G280" s="6" t="str">
        <f t="shared" si="3"/>
        <v/>
      </c>
      <c r="H280" s="11"/>
      <c r="I280" s="6" t="str">
        <f t="shared" si="4"/>
        <v/>
      </c>
      <c r="J280" s="11"/>
      <c r="K280" s="6" t="str">
        <f t="shared" si="5"/>
        <v/>
      </c>
      <c r="L280" s="11"/>
      <c r="M280" s="6" t="str">
        <f t="shared" si="6"/>
        <v/>
      </c>
      <c r="N280" s="11"/>
      <c r="O280" s="6" t="str">
        <f t="shared" si="7"/>
        <v/>
      </c>
      <c r="P280" s="12"/>
      <c r="Q280" s="8" t="str">
        <f>IF(P280="","",P280*'Config  Metas'!$B$10)</f>
        <v/>
      </c>
      <c r="R280" s="4" t="str">
        <f>IF(COUNTA(D280,E280,F280,H280,J280,L280,N280,P280)=0,"",IF(AND(D280&gt;0,E280/D280&lt;'Config  Metas'!$B$8),"🚨 COBERTURA DE LLAMADOS BAJA",IF(G280&lt;'Config  Metas'!$B$2,"🚨 CONTACTO BAJO",IF(I280&lt;'Config  Metas'!$B$3,"🚨 AGENDAMIENTO BAJO",IF(K280&lt;'Config  Metas'!$B$4,"⚠️ SHOW BAJO",IF(M280&lt;'Config  Metas'!$B$5,"🚨 RESERVA BAJA",IF(O280&lt;'Config  Metas'!$B$6,"🚨 CIERRE BAJO",IF(P280&lt;D280*'Config  Metas'!$B$15*'Config  Metas'!$B$9,"🔻 UF BAJO RITMO DINÁMICO","✅ DÍA SOBRE RITMO"))))))))</f>
        <v/>
      </c>
      <c r="S280" s="10"/>
      <c r="T280" s="10"/>
      <c r="U280" s="2"/>
      <c r="V280" s="2"/>
      <c r="W280" s="2"/>
      <c r="X280" s="2"/>
      <c r="Y280" s="2"/>
      <c r="Z280" s="2"/>
    </row>
    <row r="281" ht="15.75" customHeight="1">
      <c r="A281" s="3">
        <v>46446.0</v>
      </c>
      <c r="B281" s="4" t="str">
        <f t="shared" si="1"/>
        <v>Sem 40</v>
      </c>
      <c r="C281" s="4" t="str">
        <f t="shared" si="2"/>
        <v>Domingo</v>
      </c>
      <c r="D281" s="11"/>
      <c r="E281" s="11"/>
      <c r="F281" s="11"/>
      <c r="G281" s="6" t="str">
        <f t="shared" si="3"/>
        <v/>
      </c>
      <c r="H281" s="11"/>
      <c r="I281" s="6" t="str">
        <f t="shared" si="4"/>
        <v/>
      </c>
      <c r="J281" s="11"/>
      <c r="K281" s="6" t="str">
        <f t="shared" si="5"/>
        <v/>
      </c>
      <c r="L281" s="11"/>
      <c r="M281" s="6" t="str">
        <f t="shared" si="6"/>
        <v/>
      </c>
      <c r="N281" s="11"/>
      <c r="O281" s="6" t="str">
        <f t="shared" si="7"/>
        <v/>
      </c>
      <c r="P281" s="12"/>
      <c r="Q281" s="8" t="str">
        <f>IF(P281="","",P281*'Config  Metas'!$B$10)</f>
        <v/>
      </c>
      <c r="R281" s="4" t="str">
        <f>IF(COUNTA(D281,E281,F281,H281,J281,L281,N281,P281)=0,"",IF(AND(D281&gt;0,E281/D281&lt;'Config  Metas'!$B$8),"🚨 COBERTURA DE LLAMADOS BAJA",IF(G281&lt;'Config  Metas'!$B$2,"🚨 CONTACTO BAJO",IF(I281&lt;'Config  Metas'!$B$3,"🚨 AGENDAMIENTO BAJO",IF(K281&lt;'Config  Metas'!$B$4,"⚠️ SHOW BAJO",IF(M281&lt;'Config  Metas'!$B$5,"🚨 RESERVA BAJA",IF(O281&lt;'Config  Metas'!$B$6,"🚨 CIERRE BAJO",IF(P281&lt;D281*'Config  Metas'!$B$15*'Config  Metas'!$B$9,"🔻 UF BAJO RITMO DINÁMICO","✅ DÍA SOBRE RITMO"))))))))</f>
        <v/>
      </c>
      <c r="S281" s="10"/>
      <c r="T281" s="10"/>
      <c r="U281" s="2"/>
      <c r="V281" s="2"/>
      <c r="W281" s="2"/>
      <c r="X281" s="2"/>
      <c r="Y281" s="2"/>
      <c r="Z281" s="2"/>
    </row>
    <row r="282" ht="15.75" customHeight="1">
      <c r="A282" s="3">
        <v>46447.0</v>
      </c>
      <c r="B282" s="4" t="str">
        <f t="shared" si="1"/>
        <v>Sem 41</v>
      </c>
      <c r="C282" s="4" t="str">
        <f t="shared" si="2"/>
        <v>Lunes</v>
      </c>
      <c r="D282" s="11"/>
      <c r="E282" s="11"/>
      <c r="F282" s="11"/>
      <c r="G282" s="6" t="str">
        <f t="shared" si="3"/>
        <v/>
      </c>
      <c r="H282" s="11"/>
      <c r="I282" s="6" t="str">
        <f t="shared" si="4"/>
        <v/>
      </c>
      <c r="J282" s="11"/>
      <c r="K282" s="6" t="str">
        <f t="shared" si="5"/>
        <v/>
      </c>
      <c r="L282" s="11"/>
      <c r="M282" s="6" t="str">
        <f t="shared" si="6"/>
        <v/>
      </c>
      <c r="N282" s="11"/>
      <c r="O282" s="6" t="str">
        <f t="shared" si="7"/>
        <v/>
      </c>
      <c r="P282" s="12"/>
      <c r="Q282" s="8" t="str">
        <f>IF(P282="","",P282*'Config  Metas'!$B$10)</f>
        <v/>
      </c>
      <c r="R282" s="4" t="str">
        <f>IF(COUNTA(D282,E282,F282,H282,J282,L282,N282,P282)=0,"",IF(AND(D282&gt;0,E282/D282&lt;'Config  Metas'!$B$8),"🚨 COBERTURA DE LLAMADOS BAJA",IF(G282&lt;'Config  Metas'!$B$2,"🚨 CONTACTO BAJO",IF(I282&lt;'Config  Metas'!$B$3,"🚨 AGENDAMIENTO BAJO",IF(K282&lt;'Config  Metas'!$B$4,"⚠️ SHOW BAJO",IF(M282&lt;'Config  Metas'!$B$5,"🚨 RESERVA BAJA",IF(O282&lt;'Config  Metas'!$B$6,"🚨 CIERRE BAJO",IF(P282&lt;D282*'Config  Metas'!$B$15*'Config  Metas'!$B$9,"🔻 UF BAJO RITMO DINÁMICO","✅ DÍA SOBRE RITMO"))))))))</f>
        <v/>
      </c>
      <c r="S282" s="10"/>
      <c r="T282" s="10"/>
      <c r="U282" s="2"/>
      <c r="V282" s="2"/>
      <c r="W282" s="2"/>
      <c r="X282" s="2"/>
      <c r="Y282" s="2"/>
      <c r="Z282" s="2"/>
    </row>
    <row r="283" ht="15.75" customHeight="1">
      <c r="A283" s="3">
        <v>46448.0</v>
      </c>
      <c r="B283" s="4" t="str">
        <f t="shared" si="1"/>
        <v>Sem 41</v>
      </c>
      <c r="C283" s="4" t="str">
        <f t="shared" si="2"/>
        <v>Martes</v>
      </c>
      <c r="D283" s="11"/>
      <c r="E283" s="11"/>
      <c r="F283" s="11"/>
      <c r="G283" s="6" t="str">
        <f t="shared" si="3"/>
        <v/>
      </c>
      <c r="H283" s="11"/>
      <c r="I283" s="6" t="str">
        <f t="shared" si="4"/>
        <v/>
      </c>
      <c r="J283" s="11"/>
      <c r="K283" s="6" t="str">
        <f t="shared" si="5"/>
        <v/>
      </c>
      <c r="L283" s="11"/>
      <c r="M283" s="6" t="str">
        <f t="shared" si="6"/>
        <v/>
      </c>
      <c r="N283" s="11"/>
      <c r="O283" s="6" t="str">
        <f t="shared" si="7"/>
        <v/>
      </c>
      <c r="P283" s="12"/>
      <c r="Q283" s="8" t="str">
        <f>IF(P283="","",P283*'Config  Metas'!$B$10)</f>
        <v/>
      </c>
      <c r="R283" s="4" t="str">
        <f>IF(COUNTA(D283,E283,F283,H283,J283,L283,N283,P283)=0,"",IF(AND(D283&gt;0,E283/D283&lt;'Config  Metas'!$B$8),"🚨 COBERTURA DE LLAMADOS BAJA",IF(G283&lt;'Config  Metas'!$B$2,"🚨 CONTACTO BAJO",IF(I283&lt;'Config  Metas'!$B$3,"🚨 AGENDAMIENTO BAJO",IF(K283&lt;'Config  Metas'!$B$4,"⚠️ SHOW BAJO",IF(M283&lt;'Config  Metas'!$B$5,"🚨 RESERVA BAJA",IF(O283&lt;'Config  Metas'!$B$6,"🚨 CIERRE BAJO",IF(P283&lt;D283*'Config  Metas'!$B$15*'Config  Metas'!$B$9,"🔻 UF BAJO RITMO DINÁMICO","✅ DÍA SOBRE RITMO"))))))))</f>
        <v/>
      </c>
      <c r="S283" s="10"/>
      <c r="T283" s="10"/>
      <c r="U283" s="2"/>
      <c r="V283" s="2"/>
      <c r="W283" s="2"/>
      <c r="X283" s="2"/>
      <c r="Y283" s="2"/>
      <c r="Z283" s="2"/>
    </row>
    <row r="284" ht="15.75" customHeight="1">
      <c r="A284" s="3">
        <v>46449.0</v>
      </c>
      <c r="B284" s="4" t="str">
        <f t="shared" si="1"/>
        <v>Sem 41</v>
      </c>
      <c r="C284" s="4" t="str">
        <f t="shared" si="2"/>
        <v>Miércoles</v>
      </c>
      <c r="D284" s="11"/>
      <c r="E284" s="11"/>
      <c r="F284" s="11"/>
      <c r="G284" s="6" t="str">
        <f t="shared" si="3"/>
        <v/>
      </c>
      <c r="H284" s="11"/>
      <c r="I284" s="6" t="str">
        <f t="shared" si="4"/>
        <v/>
      </c>
      <c r="J284" s="11"/>
      <c r="K284" s="6" t="str">
        <f t="shared" si="5"/>
        <v/>
      </c>
      <c r="L284" s="11"/>
      <c r="M284" s="6" t="str">
        <f t="shared" si="6"/>
        <v/>
      </c>
      <c r="N284" s="11"/>
      <c r="O284" s="6" t="str">
        <f t="shared" si="7"/>
        <v/>
      </c>
      <c r="P284" s="12"/>
      <c r="Q284" s="8" t="str">
        <f>IF(P284="","",P284*'Config  Metas'!$B$10)</f>
        <v/>
      </c>
      <c r="R284" s="4" t="str">
        <f>IF(COUNTA(D284,E284,F284,H284,J284,L284,N284,P284)=0,"",IF(AND(D284&gt;0,E284/D284&lt;'Config  Metas'!$B$8),"🚨 COBERTURA DE LLAMADOS BAJA",IF(G284&lt;'Config  Metas'!$B$2,"🚨 CONTACTO BAJO",IF(I284&lt;'Config  Metas'!$B$3,"🚨 AGENDAMIENTO BAJO",IF(K284&lt;'Config  Metas'!$B$4,"⚠️ SHOW BAJO",IF(M284&lt;'Config  Metas'!$B$5,"🚨 RESERVA BAJA",IF(O284&lt;'Config  Metas'!$B$6,"🚨 CIERRE BAJO",IF(P284&lt;D284*'Config  Metas'!$B$15*'Config  Metas'!$B$9,"🔻 UF BAJO RITMO DINÁMICO","✅ DÍA SOBRE RITMO"))))))))</f>
        <v/>
      </c>
      <c r="S284" s="10"/>
      <c r="T284" s="10"/>
      <c r="U284" s="2"/>
      <c r="V284" s="2"/>
      <c r="W284" s="2"/>
      <c r="X284" s="2"/>
      <c r="Y284" s="2"/>
      <c r="Z284" s="2"/>
    </row>
    <row r="285" ht="15.75" customHeight="1">
      <c r="A285" s="3">
        <v>46450.0</v>
      </c>
      <c r="B285" s="4" t="str">
        <f t="shared" si="1"/>
        <v>Sem 41</v>
      </c>
      <c r="C285" s="4" t="str">
        <f t="shared" si="2"/>
        <v>Jueves</v>
      </c>
      <c r="D285" s="11"/>
      <c r="E285" s="11"/>
      <c r="F285" s="11"/>
      <c r="G285" s="6" t="str">
        <f t="shared" si="3"/>
        <v/>
      </c>
      <c r="H285" s="11"/>
      <c r="I285" s="6" t="str">
        <f t="shared" si="4"/>
        <v/>
      </c>
      <c r="J285" s="11"/>
      <c r="K285" s="6" t="str">
        <f t="shared" si="5"/>
        <v/>
      </c>
      <c r="L285" s="11"/>
      <c r="M285" s="6" t="str">
        <f t="shared" si="6"/>
        <v/>
      </c>
      <c r="N285" s="11"/>
      <c r="O285" s="6" t="str">
        <f t="shared" si="7"/>
        <v/>
      </c>
      <c r="P285" s="12"/>
      <c r="Q285" s="8" t="str">
        <f>IF(P285="","",P285*'Config  Metas'!$B$10)</f>
        <v/>
      </c>
      <c r="R285" s="4" t="str">
        <f>IF(COUNTA(D285,E285,F285,H285,J285,L285,N285,P285)=0,"",IF(AND(D285&gt;0,E285/D285&lt;'Config  Metas'!$B$8),"🚨 COBERTURA DE LLAMADOS BAJA",IF(G285&lt;'Config  Metas'!$B$2,"🚨 CONTACTO BAJO",IF(I285&lt;'Config  Metas'!$B$3,"🚨 AGENDAMIENTO BAJO",IF(K285&lt;'Config  Metas'!$B$4,"⚠️ SHOW BAJO",IF(M285&lt;'Config  Metas'!$B$5,"🚨 RESERVA BAJA",IF(O285&lt;'Config  Metas'!$B$6,"🚨 CIERRE BAJO",IF(P285&lt;D285*'Config  Metas'!$B$15*'Config  Metas'!$B$9,"🔻 UF BAJO RITMO DINÁMICO","✅ DÍA SOBRE RITMO"))))))))</f>
        <v/>
      </c>
      <c r="S285" s="10"/>
      <c r="T285" s="10"/>
      <c r="U285" s="2"/>
      <c r="V285" s="2"/>
      <c r="W285" s="2"/>
      <c r="X285" s="2"/>
      <c r="Y285" s="2"/>
      <c r="Z285" s="2"/>
    </row>
    <row r="286" ht="15.75" customHeight="1">
      <c r="A286" s="3">
        <v>46451.0</v>
      </c>
      <c r="B286" s="4" t="str">
        <f t="shared" si="1"/>
        <v>Sem 41</v>
      </c>
      <c r="C286" s="4" t="str">
        <f t="shared" si="2"/>
        <v>Viernes</v>
      </c>
      <c r="D286" s="11"/>
      <c r="E286" s="11"/>
      <c r="F286" s="11"/>
      <c r="G286" s="6" t="str">
        <f t="shared" si="3"/>
        <v/>
      </c>
      <c r="H286" s="11"/>
      <c r="I286" s="6" t="str">
        <f t="shared" si="4"/>
        <v/>
      </c>
      <c r="J286" s="11"/>
      <c r="K286" s="6" t="str">
        <f t="shared" si="5"/>
        <v/>
      </c>
      <c r="L286" s="11"/>
      <c r="M286" s="6" t="str">
        <f t="shared" si="6"/>
        <v/>
      </c>
      <c r="N286" s="11"/>
      <c r="O286" s="6" t="str">
        <f t="shared" si="7"/>
        <v/>
      </c>
      <c r="P286" s="12"/>
      <c r="Q286" s="8" t="str">
        <f>IF(P286="","",P286*'Config  Metas'!$B$10)</f>
        <v/>
      </c>
      <c r="R286" s="4" t="str">
        <f>IF(COUNTA(D286,E286,F286,H286,J286,L286,N286,P286)=0,"",IF(AND(D286&gt;0,E286/D286&lt;'Config  Metas'!$B$8),"🚨 COBERTURA DE LLAMADOS BAJA",IF(G286&lt;'Config  Metas'!$B$2,"🚨 CONTACTO BAJO",IF(I286&lt;'Config  Metas'!$B$3,"🚨 AGENDAMIENTO BAJO",IF(K286&lt;'Config  Metas'!$B$4,"⚠️ SHOW BAJO",IF(M286&lt;'Config  Metas'!$B$5,"🚨 RESERVA BAJA",IF(O286&lt;'Config  Metas'!$B$6,"🚨 CIERRE BAJO",IF(P286&lt;D286*'Config  Metas'!$B$15*'Config  Metas'!$B$9,"🔻 UF BAJO RITMO DINÁMICO","✅ DÍA SOBRE RITMO"))))))))</f>
        <v/>
      </c>
      <c r="S286" s="10"/>
      <c r="T286" s="10"/>
      <c r="U286" s="2"/>
      <c r="V286" s="2"/>
      <c r="W286" s="2"/>
      <c r="X286" s="2"/>
      <c r="Y286" s="2"/>
      <c r="Z286" s="2"/>
    </row>
    <row r="287" ht="15.75" customHeight="1">
      <c r="A287" s="3">
        <v>46452.0</v>
      </c>
      <c r="B287" s="4" t="str">
        <f t="shared" si="1"/>
        <v>Sem 41</v>
      </c>
      <c r="C287" s="4" t="str">
        <f t="shared" si="2"/>
        <v>Sábado</v>
      </c>
      <c r="D287" s="11"/>
      <c r="E287" s="11"/>
      <c r="F287" s="11"/>
      <c r="G287" s="6" t="str">
        <f t="shared" si="3"/>
        <v/>
      </c>
      <c r="H287" s="11"/>
      <c r="I287" s="6" t="str">
        <f t="shared" si="4"/>
        <v/>
      </c>
      <c r="J287" s="11"/>
      <c r="K287" s="6" t="str">
        <f t="shared" si="5"/>
        <v/>
      </c>
      <c r="L287" s="11"/>
      <c r="M287" s="6" t="str">
        <f t="shared" si="6"/>
        <v/>
      </c>
      <c r="N287" s="11"/>
      <c r="O287" s="6" t="str">
        <f t="shared" si="7"/>
        <v/>
      </c>
      <c r="P287" s="12"/>
      <c r="Q287" s="8" t="str">
        <f>IF(P287="","",P287*'Config  Metas'!$B$10)</f>
        <v/>
      </c>
      <c r="R287" s="4" t="str">
        <f>IF(COUNTA(D287,E287,F287,H287,J287,L287,N287,P287)=0,"",IF(AND(D287&gt;0,E287/D287&lt;'Config  Metas'!$B$8),"🚨 COBERTURA DE LLAMADOS BAJA",IF(G287&lt;'Config  Metas'!$B$2,"🚨 CONTACTO BAJO",IF(I287&lt;'Config  Metas'!$B$3,"🚨 AGENDAMIENTO BAJO",IF(K287&lt;'Config  Metas'!$B$4,"⚠️ SHOW BAJO",IF(M287&lt;'Config  Metas'!$B$5,"🚨 RESERVA BAJA",IF(O287&lt;'Config  Metas'!$B$6,"🚨 CIERRE BAJO",IF(P287&lt;D287*'Config  Metas'!$B$15*'Config  Metas'!$B$9,"🔻 UF BAJO RITMO DINÁMICO","✅ DÍA SOBRE RITMO"))))))))</f>
        <v/>
      </c>
      <c r="S287" s="10"/>
      <c r="T287" s="10"/>
      <c r="U287" s="2"/>
      <c r="V287" s="2"/>
      <c r="W287" s="2"/>
      <c r="X287" s="2"/>
      <c r="Y287" s="2"/>
      <c r="Z287" s="2"/>
    </row>
    <row r="288" ht="15.75" customHeight="1">
      <c r="A288" s="3">
        <v>46453.0</v>
      </c>
      <c r="B288" s="4" t="str">
        <f t="shared" si="1"/>
        <v>Sem 41</v>
      </c>
      <c r="C288" s="4" t="str">
        <f t="shared" si="2"/>
        <v>Domingo</v>
      </c>
      <c r="D288" s="11"/>
      <c r="E288" s="11"/>
      <c r="F288" s="11"/>
      <c r="G288" s="6" t="str">
        <f t="shared" si="3"/>
        <v/>
      </c>
      <c r="H288" s="11"/>
      <c r="I288" s="6" t="str">
        <f t="shared" si="4"/>
        <v/>
      </c>
      <c r="J288" s="11"/>
      <c r="K288" s="6" t="str">
        <f t="shared" si="5"/>
        <v/>
      </c>
      <c r="L288" s="11"/>
      <c r="M288" s="6" t="str">
        <f t="shared" si="6"/>
        <v/>
      </c>
      <c r="N288" s="11"/>
      <c r="O288" s="6" t="str">
        <f t="shared" si="7"/>
        <v/>
      </c>
      <c r="P288" s="12"/>
      <c r="Q288" s="8" t="str">
        <f>IF(P288="","",P288*'Config  Metas'!$B$10)</f>
        <v/>
      </c>
      <c r="R288" s="4" t="str">
        <f>IF(COUNTA(D288,E288,F288,H288,J288,L288,N288,P288)=0,"",IF(AND(D288&gt;0,E288/D288&lt;'Config  Metas'!$B$8),"🚨 COBERTURA DE LLAMADOS BAJA",IF(G288&lt;'Config  Metas'!$B$2,"🚨 CONTACTO BAJO",IF(I288&lt;'Config  Metas'!$B$3,"🚨 AGENDAMIENTO BAJO",IF(K288&lt;'Config  Metas'!$B$4,"⚠️ SHOW BAJO",IF(M288&lt;'Config  Metas'!$B$5,"🚨 RESERVA BAJA",IF(O288&lt;'Config  Metas'!$B$6,"🚨 CIERRE BAJO",IF(P288&lt;D288*'Config  Metas'!$B$15*'Config  Metas'!$B$9,"🔻 UF BAJO RITMO DINÁMICO","✅ DÍA SOBRE RITMO"))))))))</f>
        <v/>
      </c>
      <c r="S288" s="10"/>
      <c r="T288" s="10"/>
      <c r="U288" s="2"/>
      <c r="V288" s="2"/>
      <c r="W288" s="2"/>
      <c r="X288" s="2"/>
      <c r="Y288" s="2"/>
      <c r="Z288" s="2"/>
    </row>
    <row r="289" ht="15.75" customHeight="1">
      <c r="A289" s="3">
        <v>46454.0</v>
      </c>
      <c r="B289" s="4" t="str">
        <f t="shared" si="1"/>
        <v>Sem 42</v>
      </c>
      <c r="C289" s="4" t="str">
        <f t="shared" si="2"/>
        <v>Lunes</v>
      </c>
      <c r="D289" s="11"/>
      <c r="E289" s="11"/>
      <c r="F289" s="11"/>
      <c r="G289" s="6" t="str">
        <f t="shared" si="3"/>
        <v/>
      </c>
      <c r="H289" s="11"/>
      <c r="I289" s="6" t="str">
        <f t="shared" si="4"/>
        <v/>
      </c>
      <c r="J289" s="11"/>
      <c r="K289" s="6" t="str">
        <f t="shared" si="5"/>
        <v/>
      </c>
      <c r="L289" s="11"/>
      <c r="M289" s="6" t="str">
        <f t="shared" si="6"/>
        <v/>
      </c>
      <c r="N289" s="11"/>
      <c r="O289" s="6" t="str">
        <f t="shared" si="7"/>
        <v/>
      </c>
      <c r="P289" s="12"/>
      <c r="Q289" s="8" t="str">
        <f>IF(P289="","",P289*'Config  Metas'!$B$10)</f>
        <v/>
      </c>
      <c r="R289" s="4" t="str">
        <f>IF(COUNTA(D289,E289,F289,H289,J289,L289,N289,P289)=0,"",IF(AND(D289&gt;0,E289/D289&lt;'Config  Metas'!$B$8),"🚨 COBERTURA DE LLAMADOS BAJA",IF(G289&lt;'Config  Metas'!$B$2,"🚨 CONTACTO BAJO",IF(I289&lt;'Config  Metas'!$B$3,"🚨 AGENDAMIENTO BAJO",IF(K289&lt;'Config  Metas'!$B$4,"⚠️ SHOW BAJO",IF(M289&lt;'Config  Metas'!$B$5,"🚨 RESERVA BAJA",IF(O289&lt;'Config  Metas'!$B$6,"🚨 CIERRE BAJO",IF(P289&lt;D289*'Config  Metas'!$B$15*'Config  Metas'!$B$9,"🔻 UF BAJO RITMO DINÁMICO","✅ DÍA SOBRE RITMO"))))))))</f>
        <v/>
      </c>
      <c r="S289" s="10"/>
      <c r="T289" s="10"/>
      <c r="U289" s="2"/>
      <c r="V289" s="2"/>
      <c r="W289" s="2"/>
      <c r="X289" s="2"/>
      <c r="Y289" s="2"/>
      <c r="Z289" s="2"/>
    </row>
    <row r="290" ht="15.75" customHeight="1">
      <c r="A290" s="3">
        <v>46455.0</v>
      </c>
      <c r="B290" s="4" t="str">
        <f t="shared" si="1"/>
        <v>Sem 42</v>
      </c>
      <c r="C290" s="4" t="str">
        <f t="shared" si="2"/>
        <v>Martes</v>
      </c>
      <c r="D290" s="11"/>
      <c r="E290" s="11"/>
      <c r="F290" s="11"/>
      <c r="G290" s="6" t="str">
        <f t="shared" si="3"/>
        <v/>
      </c>
      <c r="H290" s="11"/>
      <c r="I290" s="6" t="str">
        <f t="shared" si="4"/>
        <v/>
      </c>
      <c r="J290" s="11"/>
      <c r="K290" s="6" t="str">
        <f t="shared" si="5"/>
        <v/>
      </c>
      <c r="L290" s="11"/>
      <c r="M290" s="6" t="str">
        <f t="shared" si="6"/>
        <v/>
      </c>
      <c r="N290" s="11"/>
      <c r="O290" s="6" t="str">
        <f t="shared" si="7"/>
        <v/>
      </c>
      <c r="P290" s="12"/>
      <c r="Q290" s="8" t="str">
        <f>IF(P290="","",P290*'Config  Metas'!$B$10)</f>
        <v/>
      </c>
      <c r="R290" s="4" t="str">
        <f>IF(COUNTA(D290,E290,F290,H290,J290,L290,N290,P290)=0,"",IF(AND(D290&gt;0,E290/D290&lt;'Config  Metas'!$B$8),"🚨 COBERTURA DE LLAMADOS BAJA",IF(G290&lt;'Config  Metas'!$B$2,"🚨 CONTACTO BAJO",IF(I290&lt;'Config  Metas'!$B$3,"🚨 AGENDAMIENTO BAJO",IF(K290&lt;'Config  Metas'!$B$4,"⚠️ SHOW BAJO",IF(M290&lt;'Config  Metas'!$B$5,"🚨 RESERVA BAJA",IF(O290&lt;'Config  Metas'!$B$6,"🚨 CIERRE BAJO",IF(P290&lt;D290*'Config  Metas'!$B$15*'Config  Metas'!$B$9,"🔻 UF BAJO RITMO DINÁMICO","✅ DÍA SOBRE RITMO"))))))))</f>
        <v/>
      </c>
      <c r="S290" s="10"/>
      <c r="T290" s="10"/>
      <c r="U290" s="2"/>
      <c r="V290" s="2"/>
      <c r="W290" s="2"/>
      <c r="X290" s="2"/>
      <c r="Y290" s="2"/>
      <c r="Z290" s="2"/>
    </row>
    <row r="291" ht="15.75" customHeight="1">
      <c r="A291" s="3">
        <v>46456.0</v>
      </c>
      <c r="B291" s="4" t="str">
        <f t="shared" si="1"/>
        <v>Sem 42</v>
      </c>
      <c r="C291" s="4" t="str">
        <f t="shared" si="2"/>
        <v>Miércoles</v>
      </c>
      <c r="D291" s="11"/>
      <c r="E291" s="11"/>
      <c r="F291" s="11"/>
      <c r="G291" s="6" t="str">
        <f t="shared" si="3"/>
        <v/>
      </c>
      <c r="H291" s="11"/>
      <c r="I291" s="6" t="str">
        <f t="shared" si="4"/>
        <v/>
      </c>
      <c r="J291" s="11"/>
      <c r="K291" s="6" t="str">
        <f t="shared" si="5"/>
        <v/>
      </c>
      <c r="L291" s="11"/>
      <c r="M291" s="6" t="str">
        <f t="shared" si="6"/>
        <v/>
      </c>
      <c r="N291" s="11"/>
      <c r="O291" s="6" t="str">
        <f t="shared" si="7"/>
        <v/>
      </c>
      <c r="P291" s="12"/>
      <c r="Q291" s="8" t="str">
        <f>IF(P291="","",P291*'Config  Metas'!$B$10)</f>
        <v/>
      </c>
      <c r="R291" s="4" t="str">
        <f>IF(COUNTA(D291,E291,F291,H291,J291,L291,N291,P291)=0,"",IF(AND(D291&gt;0,E291/D291&lt;'Config  Metas'!$B$8),"🚨 COBERTURA DE LLAMADOS BAJA",IF(G291&lt;'Config  Metas'!$B$2,"🚨 CONTACTO BAJO",IF(I291&lt;'Config  Metas'!$B$3,"🚨 AGENDAMIENTO BAJO",IF(K291&lt;'Config  Metas'!$B$4,"⚠️ SHOW BAJO",IF(M291&lt;'Config  Metas'!$B$5,"🚨 RESERVA BAJA",IF(O291&lt;'Config  Metas'!$B$6,"🚨 CIERRE BAJO",IF(P291&lt;D291*'Config  Metas'!$B$15*'Config  Metas'!$B$9,"🔻 UF BAJO RITMO DINÁMICO","✅ DÍA SOBRE RITMO"))))))))</f>
        <v/>
      </c>
      <c r="S291" s="10"/>
      <c r="T291" s="10"/>
      <c r="U291" s="2"/>
      <c r="V291" s="2"/>
      <c r="W291" s="2"/>
      <c r="X291" s="2"/>
      <c r="Y291" s="2"/>
      <c r="Z291" s="2"/>
    </row>
    <row r="292" ht="15.75" customHeight="1">
      <c r="A292" s="3">
        <v>46457.0</v>
      </c>
      <c r="B292" s="4" t="str">
        <f t="shared" si="1"/>
        <v>Sem 42</v>
      </c>
      <c r="C292" s="4" t="str">
        <f t="shared" si="2"/>
        <v>Jueves</v>
      </c>
      <c r="D292" s="11"/>
      <c r="E292" s="11"/>
      <c r="F292" s="11"/>
      <c r="G292" s="6" t="str">
        <f t="shared" si="3"/>
        <v/>
      </c>
      <c r="H292" s="11"/>
      <c r="I292" s="6" t="str">
        <f t="shared" si="4"/>
        <v/>
      </c>
      <c r="J292" s="11"/>
      <c r="K292" s="6" t="str">
        <f t="shared" si="5"/>
        <v/>
      </c>
      <c r="L292" s="11"/>
      <c r="M292" s="6" t="str">
        <f t="shared" si="6"/>
        <v/>
      </c>
      <c r="N292" s="11"/>
      <c r="O292" s="6" t="str">
        <f t="shared" si="7"/>
        <v/>
      </c>
      <c r="P292" s="12"/>
      <c r="Q292" s="8" t="str">
        <f>IF(P292="","",P292*'Config  Metas'!$B$10)</f>
        <v/>
      </c>
      <c r="R292" s="4" t="str">
        <f>IF(COUNTA(D292,E292,F292,H292,J292,L292,N292,P292)=0,"",IF(AND(D292&gt;0,E292/D292&lt;'Config  Metas'!$B$8),"🚨 COBERTURA DE LLAMADOS BAJA",IF(G292&lt;'Config  Metas'!$B$2,"🚨 CONTACTO BAJO",IF(I292&lt;'Config  Metas'!$B$3,"🚨 AGENDAMIENTO BAJO",IF(K292&lt;'Config  Metas'!$B$4,"⚠️ SHOW BAJO",IF(M292&lt;'Config  Metas'!$B$5,"🚨 RESERVA BAJA",IF(O292&lt;'Config  Metas'!$B$6,"🚨 CIERRE BAJO",IF(P292&lt;D292*'Config  Metas'!$B$15*'Config  Metas'!$B$9,"🔻 UF BAJO RITMO DINÁMICO","✅ DÍA SOBRE RITMO"))))))))</f>
        <v/>
      </c>
      <c r="S292" s="10"/>
      <c r="T292" s="10"/>
      <c r="U292" s="2"/>
      <c r="V292" s="2"/>
      <c r="W292" s="2"/>
      <c r="X292" s="2"/>
      <c r="Y292" s="2"/>
      <c r="Z292" s="2"/>
    </row>
    <row r="293" ht="15.75" customHeight="1">
      <c r="A293" s="3">
        <v>46458.0</v>
      </c>
      <c r="B293" s="4" t="str">
        <f t="shared" si="1"/>
        <v>Sem 42</v>
      </c>
      <c r="C293" s="4" t="str">
        <f t="shared" si="2"/>
        <v>Viernes</v>
      </c>
      <c r="D293" s="11"/>
      <c r="E293" s="11"/>
      <c r="F293" s="11"/>
      <c r="G293" s="6" t="str">
        <f t="shared" si="3"/>
        <v/>
      </c>
      <c r="H293" s="11"/>
      <c r="I293" s="6" t="str">
        <f t="shared" si="4"/>
        <v/>
      </c>
      <c r="J293" s="11"/>
      <c r="K293" s="6" t="str">
        <f t="shared" si="5"/>
        <v/>
      </c>
      <c r="L293" s="11"/>
      <c r="M293" s="6" t="str">
        <f t="shared" si="6"/>
        <v/>
      </c>
      <c r="N293" s="11"/>
      <c r="O293" s="6" t="str">
        <f t="shared" si="7"/>
        <v/>
      </c>
      <c r="P293" s="12"/>
      <c r="Q293" s="8" t="str">
        <f>IF(P293="","",P293*'Config  Metas'!$B$10)</f>
        <v/>
      </c>
      <c r="R293" s="4" t="str">
        <f>IF(COUNTA(D293,E293,F293,H293,J293,L293,N293,P293)=0,"",IF(AND(D293&gt;0,E293/D293&lt;'Config  Metas'!$B$8),"🚨 COBERTURA DE LLAMADOS BAJA",IF(G293&lt;'Config  Metas'!$B$2,"🚨 CONTACTO BAJO",IF(I293&lt;'Config  Metas'!$B$3,"🚨 AGENDAMIENTO BAJO",IF(K293&lt;'Config  Metas'!$B$4,"⚠️ SHOW BAJO",IF(M293&lt;'Config  Metas'!$B$5,"🚨 RESERVA BAJA",IF(O293&lt;'Config  Metas'!$B$6,"🚨 CIERRE BAJO",IF(P293&lt;D293*'Config  Metas'!$B$15*'Config  Metas'!$B$9,"🔻 UF BAJO RITMO DINÁMICO","✅ DÍA SOBRE RITMO"))))))))</f>
        <v/>
      </c>
      <c r="S293" s="10"/>
      <c r="T293" s="10"/>
      <c r="U293" s="2"/>
      <c r="V293" s="2"/>
      <c r="W293" s="2"/>
      <c r="X293" s="2"/>
      <c r="Y293" s="2"/>
      <c r="Z293" s="2"/>
    </row>
    <row r="294" ht="15.75" customHeight="1">
      <c r="A294" s="3">
        <v>46459.0</v>
      </c>
      <c r="B294" s="4" t="str">
        <f t="shared" si="1"/>
        <v>Sem 42</v>
      </c>
      <c r="C294" s="4" t="str">
        <f t="shared" si="2"/>
        <v>Sábado</v>
      </c>
      <c r="D294" s="11"/>
      <c r="E294" s="11"/>
      <c r="F294" s="11"/>
      <c r="G294" s="6" t="str">
        <f t="shared" si="3"/>
        <v/>
      </c>
      <c r="H294" s="11"/>
      <c r="I294" s="6" t="str">
        <f t="shared" si="4"/>
        <v/>
      </c>
      <c r="J294" s="11"/>
      <c r="K294" s="6" t="str">
        <f t="shared" si="5"/>
        <v/>
      </c>
      <c r="L294" s="11"/>
      <c r="M294" s="6" t="str">
        <f t="shared" si="6"/>
        <v/>
      </c>
      <c r="N294" s="11"/>
      <c r="O294" s="6" t="str">
        <f t="shared" si="7"/>
        <v/>
      </c>
      <c r="P294" s="12"/>
      <c r="Q294" s="8" t="str">
        <f>IF(P294="","",P294*'Config  Metas'!$B$10)</f>
        <v/>
      </c>
      <c r="R294" s="4" t="str">
        <f>IF(COUNTA(D294,E294,F294,H294,J294,L294,N294,P294)=0,"",IF(AND(D294&gt;0,E294/D294&lt;'Config  Metas'!$B$8),"🚨 COBERTURA DE LLAMADOS BAJA",IF(G294&lt;'Config  Metas'!$B$2,"🚨 CONTACTO BAJO",IF(I294&lt;'Config  Metas'!$B$3,"🚨 AGENDAMIENTO BAJO",IF(K294&lt;'Config  Metas'!$B$4,"⚠️ SHOW BAJO",IF(M294&lt;'Config  Metas'!$B$5,"🚨 RESERVA BAJA",IF(O294&lt;'Config  Metas'!$B$6,"🚨 CIERRE BAJO",IF(P294&lt;D294*'Config  Metas'!$B$15*'Config  Metas'!$B$9,"🔻 UF BAJO RITMO DINÁMICO","✅ DÍA SOBRE RITMO"))))))))</f>
        <v/>
      </c>
      <c r="S294" s="10"/>
      <c r="T294" s="10"/>
      <c r="U294" s="2"/>
      <c r="V294" s="2"/>
      <c r="W294" s="2"/>
      <c r="X294" s="2"/>
      <c r="Y294" s="2"/>
      <c r="Z294" s="2"/>
    </row>
    <row r="295" ht="15.75" customHeight="1">
      <c r="A295" s="3">
        <v>46460.0</v>
      </c>
      <c r="B295" s="4" t="str">
        <f t="shared" si="1"/>
        <v>Sem 42</v>
      </c>
      <c r="C295" s="4" t="str">
        <f t="shared" si="2"/>
        <v>Domingo</v>
      </c>
      <c r="D295" s="11"/>
      <c r="E295" s="11"/>
      <c r="F295" s="11"/>
      <c r="G295" s="6" t="str">
        <f t="shared" si="3"/>
        <v/>
      </c>
      <c r="H295" s="11"/>
      <c r="I295" s="6" t="str">
        <f t="shared" si="4"/>
        <v/>
      </c>
      <c r="J295" s="11"/>
      <c r="K295" s="6" t="str">
        <f t="shared" si="5"/>
        <v/>
      </c>
      <c r="L295" s="11"/>
      <c r="M295" s="6" t="str">
        <f t="shared" si="6"/>
        <v/>
      </c>
      <c r="N295" s="11"/>
      <c r="O295" s="6" t="str">
        <f t="shared" si="7"/>
        <v/>
      </c>
      <c r="P295" s="12"/>
      <c r="Q295" s="8" t="str">
        <f>IF(P295="","",P295*'Config  Metas'!$B$10)</f>
        <v/>
      </c>
      <c r="R295" s="4" t="str">
        <f>IF(COUNTA(D295,E295,F295,H295,J295,L295,N295,P295)=0,"",IF(AND(D295&gt;0,E295/D295&lt;'Config  Metas'!$B$8),"🚨 COBERTURA DE LLAMADOS BAJA",IF(G295&lt;'Config  Metas'!$B$2,"🚨 CONTACTO BAJO",IF(I295&lt;'Config  Metas'!$B$3,"🚨 AGENDAMIENTO BAJO",IF(K295&lt;'Config  Metas'!$B$4,"⚠️ SHOW BAJO",IF(M295&lt;'Config  Metas'!$B$5,"🚨 RESERVA BAJA",IF(O295&lt;'Config  Metas'!$B$6,"🚨 CIERRE BAJO",IF(P295&lt;D295*'Config  Metas'!$B$15*'Config  Metas'!$B$9,"🔻 UF BAJO RITMO DINÁMICO","✅ DÍA SOBRE RITMO"))))))))</f>
        <v/>
      </c>
      <c r="S295" s="10"/>
      <c r="T295" s="10"/>
      <c r="U295" s="2"/>
      <c r="V295" s="2"/>
      <c r="W295" s="2"/>
      <c r="X295" s="2"/>
      <c r="Y295" s="2"/>
      <c r="Z295" s="2"/>
    </row>
    <row r="296" ht="15.75" customHeight="1">
      <c r="A296" s="3">
        <v>46461.0</v>
      </c>
      <c r="B296" s="4" t="str">
        <f t="shared" si="1"/>
        <v>Sem 43</v>
      </c>
      <c r="C296" s="4" t="str">
        <f t="shared" si="2"/>
        <v>Lunes</v>
      </c>
      <c r="D296" s="11"/>
      <c r="E296" s="11"/>
      <c r="F296" s="11"/>
      <c r="G296" s="6" t="str">
        <f t="shared" si="3"/>
        <v/>
      </c>
      <c r="H296" s="11"/>
      <c r="I296" s="6" t="str">
        <f t="shared" si="4"/>
        <v/>
      </c>
      <c r="J296" s="11"/>
      <c r="K296" s="6" t="str">
        <f t="shared" si="5"/>
        <v/>
      </c>
      <c r="L296" s="11"/>
      <c r="M296" s="6" t="str">
        <f t="shared" si="6"/>
        <v/>
      </c>
      <c r="N296" s="11"/>
      <c r="O296" s="6" t="str">
        <f t="shared" si="7"/>
        <v/>
      </c>
      <c r="P296" s="12"/>
      <c r="Q296" s="8" t="str">
        <f>IF(P296="","",P296*'Config  Metas'!$B$10)</f>
        <v/>
      </c>
      <c r="R296" s="4" t="str">
        <f>IF(COUNTA(D296,E296,F296,H296,J296,L296,N296,P296)=0,"",IF(AND(D296&gt;0,E296/D296&lt;'Config  Metas'!$B$8),"🚨 COBERTURA DE LLAMADOS BAJA",IF(G296&lt;'Config  Metas'!$B$2,"🚨 CONTACTO BAJO",IF(I296&lt;'Config  Metas'!$B$3,"🚨 AGENDAMIENTO BAJO",IF(K296&lt;'Config  Metas'!$B$4,"⚠️ SHOW BAJO",IF(M296&lt;'Config  Metas'!$B$5,"🚨 RESERVA BAJA",IF(O296&lt;'Config  Metas'!$B$6,"🚨 CIERRE BAJO",IF(P296&lt;D296*'Config  Metas'!$B$15*'Config  Metas'!$B$9,"🔻 UF BAJO RITMO DINÁMICO","✅ DÍA SOBRE RITMO"))))))))</f>
        <v/>
      </c>
      <c r="S296" s="10"/>
      <c r="T296" s="10"/>
      <c r="U296" s="2"/>
      <c r="V296" s="2"/>
      <c r="W296" s="2"/>
      <c r="X296" s="2"/>
      <c r="Y296" s="2"/>
      <c r="Z296" s="2"/>
    </row>
    <row r="297" ht="15.75" customHeight="1">
      <c r="A297" s="3">
        <v>46462.0</v>
      </c>
      <c r="B297" s="4" t="str">
        <f t="shared" si="1"/>
        <v>Sem 43</v>
      </c>
      <c r="C297" s="4" t="str">
        <f t="shared" si="2"/>
        <v>Martes</v>
      </c>
      <c r="D297" s="11"/>
      <c r="E297" s="11"/>
      <c r="F297" s="11"/>
      <c r="G297" s="6" t="str">
        <f t="shared" si="3"/>
        <v/>
      </c>
      <c r="H297" s="11"/>
      <c r="I297" s="6" t="str">
        <f t="shared" si="4"/>
        <v/>
      </c>
      <c r="J297" s="11"/>
      <c r="K297" s="6" t="str">
        <f t="shared" si="5"/>
        <v/>
      </c>
      <c r="L297" s="11"/>
      <c r="M297" s="6" t="str">
        <f t="shared" si="6"/>
        <v/>
      </c>
      <c r="N297" s="11"/>
      <c r="O297" s="6" t="str">
        <f t="shared" si="7"/>
        <v/>
      </c>
      <c r="P297" s="12"/>
      <c r="Q297" s="8" t="str">
        <f>IF(P297="","",P297*'Config  Metas'!$B$10)</f>
        <v/>
      </c>
      <c r="R297" s="4" t="str">
        <f>IF(COUNTA(D297,E297,F297,H297,J297,L297,N297,P297)=0,"",IF(AND(D297&gt;0,E297/D297&lt;'Config  Metas'!$B$8),"🚨 COBERTURA DE LLAMADOS BAJA",IF(G297&lt;'Config  Metas'!$B$2,"🚨 CONTACTO BAJO",IF(I297&lt;'Config  Metas'!$B$3,"🚨 AGENDAMIENTO BAJO",IF(K297&lt;'Config  Metas'!$B$4,"⚠️ SHOW BAJO",IF(M297&lt;'Config  Metas'!$B$5,"🚨 RESERVA BAJA",IF(O297&lt;'Config  Metas'!$B$6,"🚨 CIERRE BAJO",IF(P297&lt;D297*'Config  Metas'!$B$15*'Config  Metas'!$B$9,"🔻 UF BAJO RITMO DINÁMICO","✅ DÍA SOBRE RITMO"))))))))</f>
        <v/>
      </c>
      <c r="S297" s="10"/>
      <c r="T297" s="10"/>
      <c r="U297" s="2"/>
      <c r="V297" s="2"/>
      <c r="W297" s="2"/>
      <c r="X297" s="2"/>
      <c r="Y297" s="2"/>
      <c r="Z297" s="2"/>
    </row>
    <row r="298" ht="15.75" customHeight="1">
      <c r="A298" s="3">
        <v>46463.0</v>
      </c>
      <c r="B298" s="4" t="str">
        <f t="shared" si="1"/>
        <v>Sem 43</v>
      </c>
      <c r="C298" s="4" t="str">
        <f t="shared" si="2"/>
        <v>Miércoles</v>
      </c>
      <c r="D298" s="11"/>
      <c r="E298" s="11"/>
      <c r="F298" s="11"/>
      <c r="G298" s="6" t="str">
        <f t="shared" si="3"/>
        <v/>
      </c>
      <c r="H298" s="11"/>
      <c r="I298" s="6" t="str">
        <f t="shared" si="4"/>
        <v/>
      </c>
      <c r="J298" s="11"/>
      <c r="K298" s="6" t="str">
        <f t="shared" si="5"/>
        <v/>
      </c>
      <c r="L298" s="11"/>
      <c r="M298" s="6" t="str">
        <f t="shared" si="6"/>
        <v/>
      </c>
      <c r="N298" s="11"/>
      <c r="O298" s="6" t="str">
        <f t="shared" si="7"/>
        <v/>
      </c>
      <c r="P298" s="12"/>
      <c r="Q298" s="8" t="str">
        <f>IF(P298="","",P298*'Config  Metas'!$B$10)</f>
        <v/>
      </c>
      <c r="R298" s="4" t="str">
        <f>IF(COUNTA(D298,E298,F298,H298,J298,L298,N298,P298)=0,"",IF(AND(D298&gt;0,E298/D298&lt;'Config  Metas'!$B$8),"🚨 COBERTURA DE LLAMADOS BAJA",IF(G298&lt;'Config  Metas'!$B$2,"🚨 CONTACTO BAJO",IF(I298&lt;'Config  Metas'!$B$3,"🚨 AGENDAMIENTO BAJO",IF(K298&lt;'Config  Metas'!$B$4,"⚠️ SHOW BAJO",IF(M298&lt;'Config  Metas'!$B$5,"🚨 RESERVA BAJA",IF(O298&lt;'Config  Metas'!$B$6,"🚨 CIERRE BAJO",IF(P298&lt;D298*'Config  Metas'!$B$15*'Config  Metas'!$B$9,"🔻 UF BAJO RITMO DINÁMICO","✅ DÍA SOBRE RITMO"))))))))</f>
        <v/>
      </c>
      <c r="S298" s="10"/>
      <c r="T298" s="10"/>
      <c r="U298" s="2"/>
      <c r="V298" s="2"/>
      <c r="W298" s="2"/>
      <c r="X298" s="2"/>
      <c r="Y298" s="2"/>
      <c r="Z298" s="2"/>
    </row>
    <row r="299" ht="15.75" customHeight="1">
      <c r="A299" s="3">
        <v>46464.0</v>
      </c>
      <c r="B299" s="4" t="str">
        <f t="shared" si="1"/>
        <v>Sem 43</v>
      </c>
      <c r="C299" s="4" t="str">
        <f t="shared" si="2"/>
        <v>Jueves</v>
      </c>
      <c r="D299" s="11"/>
      <c r="E299" s="11"/>
      <c r="F299" s="11"/>
      <c r="G299" s="6" t="str">
        <f t="shared" si="3"/>
        <v/>
      </c>
      <c r="H299" s="11"/>
      <c r="I299" s="6" t="str">
        <f t="shared" si="4"/>
        <v/>
      </c>
      <c r="J299" s="11"/>
      <c r="K299" s="6" t="str">
        <f t="shared" si="5"/>
        <v/>
      </c>
      <c r="L299" s="11"/>
      <c r="M299" s="6" t="str">
        <f t="shared" si="6"/>
        <v/>
      </c>
      <c r="N299" s="11"/>
      <c r="O299" s="6" t="str">
        <f t="shared" si="7"/>
        <v/>
      </c>
      <c r="P299" s="12"/>
      <c r="Q299" s="8" t="str">
        <f>IF(P299="","",P299*'Config  Metas'!$B$10)</f>
        <v/>
      </c>
      <c r="R299" s="4" t="str">
        <f>IF(COUNTA(D299,E299,F299,H299,J299,L299,N299,P299)=0,"",IF(AND(D299&gt;0,E299/D299&lt;'Config  Metas'!$B$8),"🚨 COBERTURA DE LLAMADOS BAJA",IF(G299&lt;'Config  Metas'!$B$2,"🚨 CONTACTO BAJO",IF(I299&lt;'Config  Metas'!$B$3,"🚨 AGENDAMIENTO BAJO",IF(K299&lt;'Config  Metas'!$B$4,"⚠️ SHOW BAJO",IF(M299&lt;'Config  Metas'!$B$5,"🚨 RESERVA BAJA",IF(O299&lt;'Config  Metas'!$B$6,"🚨 CIERRE BAJO",IF(P299&lt;D299*'Config  Metas'!$B$15*'Config  Metas'!$B$9,"🔻 UF BAJO RITMO DINÁMICO","✅ DÍA SOBRE RITMO"))))))))</f>
        <v/>
      </c>
      <c r="S299" s="10"/>
      <c r="T299" s="10"/>
      <c r="U299" s="2"/>
      <c r="V299" s="2"/>
      <c r="W299" s="2"/>
      <c r="X299" s="2"/>
      <c r="Y299" s="2"/>
      <c r="Z299" s="2"/>
    </row>
    <row r="300" ht="15.75" customHeight="1">
      <c r="A300" s="3">
        <v>46465.0</v>
      </c>
      <c r="B300" s="4" t="str">
        <f t="shared" si="1"/>
        <v>Sem 43</v>
      </c>
      <c r="C300" s="4" t="str">
        <f t="shared" si="2"/>
        <v>Viernes</v>
      </c>
      <c r="D300" s="11"/>
      <c r="E300" s="11"/>
      <c r="F300" s="11"/>
      <c r="G300" s="6" t="str">
        <f t="shared" si="3"/>
        <v/>
      </c>
      <c r="H300" s="11"/>
      <c r="I300" s="6" t="str">
        <f t="shared" si="4"/>
        <v/>
      </c>
      <c r="J300" s="11"/>
      <c r="K300" s="6" t="str">
        <f t="shared" si="5"/>
        <v/>
      </c>
      <c r="L300" s="11"/>
      <c r="M300" s="6" t="str">
        <f t="shared" si="6"/>
        <v/>
      </c>
      <c r="N300" s="11"/>
      <c r="O300" s="6" t="str">
        <f t="shared" si="7"/>
        <v/>
      </c>
      <c r="P300" s="12"/>
      <c r="Q300" s="8" t="str">
        <f>IF(P300="","",P300*'Config  Metas'!$B$10)</f>
        <v/>
      </c>
      <c r="R300" s="4" t="str">
        <f>IF(COUNTA(D300,E300,F300,H300,J300,L300,N300,P300)=0,"",IF(AND(D300&gt;0,E300/D300&lt;'Config  Metas'!$B$8),"🚨 COBERTURA DE LLAMADOS BAJA",IF(G300&lt;'Config  Metas'!$B$2,"🚨 CONTACTO BAJO",IF(I300&lt;'Config  Metas'!$B$3,"🚨 AGENDAMIENTO BAJO",IF(K300&lt;'Config  Metas'!$B$4,"⚠️ SHOW BAJO",IF(M300&lt;'Config  Metas'!$B$5,"🚨 RESERVA BAJA",IF(O300&lt;'Config  Metas'!$B$6,"🚨 CIERRE BAJO",IF(P300&lt;D300*'Config  Metas'!$B$15*'Config  Metas'!$B$9,"🔻 UF BAJO RITMO DINÁMICO","✅ DÍA SOBRE RITMO"))))))))</f>
        <v/>
      </c>
      <c r="S300" s="10"/>
      <c r="T300" s="10"/>
      <c r="U300" s="2"/>
      <c r="V300" s="2"/>
      <c r="W300" s="2"/>
      <c r="X300" s="2"/>
      <c r="Y300" s="2"/>
      <c r="Z300" s="2"/>
    </row>
    <row r="301" ht="15.75" customHeight="1">
      <c r="A301" s="3">
        <v>46466.0</v>
      </c>
      <c r="B301" s="4" t="str">
        <f t="shared" si="1"/>
        <v>Sem 43</v>
      </c>
      <c r="C301" s="4" t="str">
        <f t="shared" si="2"/>
        <v>Sábado</v>
      </c>
      <c r="D301" s="11"/>
      <c r="E301" s="11"/>
      <c r="F301" s="11"/>
      <c r="G301" s="6" t="str">
        <f t="shared" si="3"/>
        <v/>
      </c>
      <c r="H301" s="11"/>
      <c r="I301" s="6" t="str">
        <f t="shared" si="4"/>
        <v/>
      </c>
      <c r="J301" s="11"/>
      <c r="K301" s="6" t="str">
        <f t="shared" si="5"/>
        <v/>
      </c>
      <c r="L301" s="11"/>
      <c r="M301" s="6" t="str">
        <f t="shared" si="6"/>
        <v/>
      </c>
      <c r="N301" s="11"/>
      <c r="O301" s="6" t="str">
        <f t="shared" si="7"/>
        <v/>
      </c>
      <c r="P301" s="12"/>
      <c r="Q301" s="8" t="str">
        <f>IF(P301="","",P301*'Config  Metas'!$B$10)</f>
        <v/>
      </c>
      <c r="R301" s="4" t="str">
        <f>IF(COUNTA(D301,E301,F301,H301,J301,L301,N301,P301)=0,"",IF(AND(D301&gt;0,E301/D301&lt;'Config  Metas'!$B$8),"🚨 COBERTURA DE LLAMADOS BAJA",IF(G301&lt;'Config  Metas'!$B$2,"🚨 CONTACTO BAJO",IF(I301&lt;'Config  Metas'!$B$3,"🚨 AGENDAMIENTO BAJO",IF(K301&lt;'Config  Metas'!$B$4,"⚠️ SHOW BAJO",IF(M301&lt;'Config  Metas'!$B$5,"🚨 RESERVA BAJA",IF(O301&lt;'Config  Metas'!$B$6,"🚨 CIERRE BAJO",IF(P301&lt;D301*'Config  Metas'!$B$15*'Config  Metas'!$B$9,"🔻 UF BAJO RITMO DINÁMICO","✅ DÍA SOBRE RITMO"))))))))</f>
        <v/>
      </c>
      <c r="S301" s="10"/>
      <c r="T301" s="10"/>
      <c r="U301" s="2"/>
      <c r="V301" s="2"/>
      <c r="W301" s="2"/>
      <c r="X301" s="2"/>
      <c r="Y301" s="2"/>
      <c r="Z301" s="2"/>
    </row>
    <row r="302" ht="15.75" customHeight="1">
      <c r="A302" s="3">
        <v>46467.0</v>
      </c>
      <c r="B302" s="4" t="str">
        <f t="shared" si="1"/>
        <v>Sem 43</v>
      </c>
      <c r="C302" s="4" t="str">
        <f t="shared" si="2"/>
        <v>Domingo</v>
      </c>
      <c r="D302" s="11"/>
      <c r="E302" s="11"/>
      <c r="F302" s="11"/>
      <c r="G302" s="6" t="str">
        <f t="shared" si="3"/>
        <v/>
      </c>
      <c r="H302" s="11"/>
      <c r="I302" s="6" t="str">
        <f t="shared" si="4"/>
        <v/>
      </c>
      <c r="J302" s="11"/>
      <c r="K302" s="6" t="str">
        <f t="shared" si="5"/>
        <v/>
      </c>
      <c r="L302" s="11"/>
      <c r="M302" s="6" t="str">
        <f t="shared" si="6"/>
        <v/>
      </c>
      <c r="N302" s="11"/>
      <c r="O302" s="6" t="str">
        <f t="shared" si="7"/>
        <v/>
      </c>
      <c r="P302" s="12"/>
      <c r="Q302" s="8" t="str">
        <f>IF(P302="","",P302*'Config  Metas'!$B$10)</f>
        <v/>
      </c>
      <c r="R302" s="4" t="str">
        <f>IF(COUNTA(D302,E302,F302,H302,J302,L302,N302,P302)=0,"",IF(AND(D302&gt;0,E302/D302&lt;'Config  Metas'!$B$8),"🚨 COBERTURA DE LLAMADOS BAJA",IF(G302&lt;'Config  Metas'!$B$2,"🚨 CONTACTO BAJO",IF(I302&lt;'Config  Metas'!$B$3,"🚨 AGENDAMIENTO BAJO",IF(K302&lt;'Config  Metas'!$B$4,"⚠️ SHOW BAJO",IF(M302&lt;'Config  Metas'!$B$5,"🚨 RESERVA BAJA",IF(O302&lt;'Config  Metas'!$B$6,"🚨 CIERRE BAJO",IF(P302&lt;D302*'Config  Metas'!$B$15*'Config  Metas'!$B$9,"🔻 UF BAJO RITMO DINÁMICO","✅ DÍA SOBRE RITMO"))))))))</f>
        <v/>
      </c>
      <c r="S302" s="10"/>
      <c r="T302" s="10"/>
      <c r="U302" s="2"/>
      <c r="V302" s="2"/>
      <c r="W302" s="2"/>
      <c r="X302" s="2"/>
      <c r="Y302" s="2"/>
      <c r="Z302" s="2"/>
    </row>
    <row r="303" ht="15.75" customHeight="1">
      <c r="A303" s="3">
        <v>46468.0</v>
      </c>
      <c r="B303" s="4" t="str">
        <f t="shared" si="1"/>
        <v>Sem 44</v>
      </c>
      <c r="C303" s="4" t="str">
        <f t="shared" si="2"/>
        <v>Lunes</v>
      </c>
      <c r="D303" s="11"/>
      <c r="E303" s="11"/>
      <c r="F303" s="11"/>
      <c r="G303" s="6" t="str">
        <f t="shared" si="3"/>
        <v/>
      </c>
      <c r="H303" s="11"/>
      <c r="I303" s="6" t="str">
        <f t="shared" si="4"/>
        <v/>
      </c>
      <c r="J303" s="11"/>
      <c r="K303" s="6" t="str">
        <f t="shared" si="5"/>
        <v/>
      </c>
      <c r="L303" s="11"/>
      <c r="M303" s="6" t="str">
        <f t="shared" si="6"/>
        <v/>
      </c>
      <c r="N303" s="11"/>
      <c r="O303" s="6" t="str">
        <f t="shared" si="7"/>
        <v/>
      </c>
      <c r="P303" s="12"/>
      <c r="Q303" s="8" t="str">
        <f>IF(P303="","",P303*'Config  Metas'!$B$10)</f>
        <v/>
      </c>
      <c r="R303" s="4" t="str">
        <f>IF(COUNTA(D303,E303,F303,H303,J303,L303,N303,P303)=0,"",IF(AND(D303&gt;0,E303/D303&lt;'Config  Metas'!$B$8),"🚨 COBERTURA DE LLAMADOS BAJA",IF(G303&lt;'Config  Metas'!$B$2,"🚨 CONTACTO BAJO",IF(I303&lt;'Config  Metas'!$B$3,"🚨 AGENDAMIENTO BAJO",IF(K303&lt;'Config  Metas'!$B$4,"⚠️ SHOW BAJO",IF(M303&lt;'Config  Metas'!$B$5,"🚨 RESERVA BAJA",IF(O303&lt;'Config  Metas'!$B$6,"🚨 CIERRE BAJO",IF(P303&lt;D303*'Config  Metas'!$B$15*'Config  Metas'!$B$9,"🔻 UF BAJO RITMO DINÁMICO","✅ DÍA SOBRE RITMO"))))))))</f>
        <v/>
      </c>
      <c r="S303" s="10"/>
      <c r="T303" s="10"/>
      <c r="U303" s="2"/>
      <c r="V303" s="2"/>
      <c r="W303" s="2"/>
      <c r="X303" s="2"/>
      <c r="Y303" s="2"/>
      <c r="Z303" s="2"/>
    </row>
    <row r="304" ht="15.75" customHeight="1">
      <c r="A304" s="3">
        <v>46469.0</v>
      </c>
      <c r="B304" s="4" t="str">
        <f t="shared" si="1"/>
        <v>Sem 44</v>
      </c>
      <c r="C304" s="4" t="str">
        <f t="shared" si="2"/>
        <v>Martes</v>
      </c>
      <c r="D304" s="11"/>
      <c r="E304" s="11"/>
      <c r="F304" s="11"/>
      <c r="G304" s="6" t="str">
        <f t="shared" si="3"/>
        <v/>
      </c>
      <c r="H304" s="11"/>
      <c r="I304" s="6" t="str">
        <f t="shared" si="4"/>
        <v/>
      </c>
      <c r="J304" s="11"/>
      <c r="K304" s="6" t="str">
        <f t="shared" si="5"/>
        <v/>
      </c>
      <c r="L304" s="11"/>
      <c r="M304" s="6" t="str">
        <f t="shared" si="6"/>
        <v/>
      </c>
      <c r="N304" s="11"/>
      <c r="O304" s="6" t="str">
        <f t="shared" si="7"/>
        <v/>
      </c>
      <c r="P304" s="12"/>
      <c r="Q304" s="8" t="str">
        <f>IF(P304="","",P304*'Config  Metas'!$B$10)</f>
        <v/>
      </c>
      <c r="R304" s="4" t="str">
        <f>IF(COUNTA(D304,E304,F304,H304,J304,L304,N304,P304)=0,"",IF(AND(D304&gt;0,E304/D304&lt;'Config  Metas'!$B$8),"🚨 COBERTURA DE LLAMADOS BAJA",IF(G304&lt;'Config  Metas'!$B$2,"🚨 CONTACTO BAJO",IF(I304&lt;'Config  Metas'!$B$3,"🚨 AGENDAMIENTO BAJO",IF(K304&lt;'Config  Metas'!$B$4,"⚠️ SHOW BAJO",IF(M304&lt;'Config  Metas'!$B$5,"🚨 RESERVA BAJA",IF(O304&lt;'Config  Metas'!$B$6,"🚨 CIERRE BAJO",IF(P304&lt;D304*'Config  Metas'!$B$15*'Config  Metas'!$B$9,"🔻 UF BAJO RITMO DINÁMICO","✅ DÍA SOBRE RITMO"))))))))</f>
        <v/>
      </c>
      <c r="S304" s="10"/>
      <c r="T304" s="10"/>
      <c r="U304" s="2"/>
      <c r="V304" s="2"/>
      <c r="W304" s="2"/>
      <c r="X304" s="2"/>
      <c r="Y304" s="2"/>
      <c r="Z304" s="2"/>
    </row>
    <row r="305" ht="15.75" customHeight="1">
      <c r="A305" s="3">
        <v>46470.0</v>
      </c>
      <c r="B305" s="4" t="str">
        <f t="shared" si="1"/>
        <v>Sem 44</v>
      </c>
      <c r="C305" s="4" t="str">
        <f t="shared" si="2"/>
        <v>Miércoles</v>
      </c>
      <c r="D305" s="11"/>
      <c r="E305" s="11"/>
      <c r="F305" s="11"/>
      <c r="G305" s="6" t="str">
        <f t="shared" si="3"/>
        <v/>
      </c>
      <c r="H305" s="11"/>
      <c r="I305" s="6" t="str">
        <f t="shared" si="4"/>
        <v/>
      </c>
      <c r="J305" s="11"/>
      <c r="K305" s="6" t="str">
        <f t="shared" si="5"/>
        <v/>
      </c>
      <c r="L305" s="11"/>
      <c r="M305" s="6" t="str">
        <f t="shared" si="6"/>
        <v/>
      </c>
      <c r="N305" s="11"/>
      <c r="O305" s="6" t="str">
        <f t="shared" si="7"/>
        <v/>
      </c>
      <c r="P305" s="12"/>
      <c r="Q305" s="8" t="str">
        <f>IF(P305="","",P305*'Config  Metas'!$B$10)</f>
        <v/>
      </c>
      <c r="R305" s="4" t="str">
        <f>IF(COUNTA(D305,E305,F305,H305,J305,L305,N305,P305)=0,"",IF(AND(D305&gt;0,E305/D305&lt;'Config  Metas'!$B$8),"🚨 COBERTURA DE LLAMADOS BAJA",IF(G305&lt;'Config  Metas'!$B$2,"🚨 CONTACTO BAJO",IF(I305&lt;'Config  Metas'!$B$3,"🚨 AGENDAMIENTO BAJO",IF(K305&lt;'Config  Metas'!$B$4,"⚠️ SHOW BAJO",IF(M305&lt;'Config  Metas'!$B$5,"🚨 RESERVA BAJA",IF(O305&lt;'Config  Metas'!$B$6,"🚨 CIERRE BAJO",IF(P305&lt;D305*'Config  Metas'!$B$15*'Config  Metas'!$B$9,"🔻 UF BAJO RITMO DINÁMICO","✅ DÍA SOBRE RITMO"))))))))</f>
        <v/>
      </c>
      <c r="S305" s="10"/>
      <c r="T305" s="10"/>
      <c r="U305" s="2"/>
      <c r="V305" s="2"/>
      <c r="W305" s="2"/>
      <c r="X305" s="2"/>
      <c r="Y305" s="2"/>
      <c r="Z305" s="2"/>
    </row>
    <row r="306" ht="15.75" customHeight="1">
      <c r="A306" s="3">
        <v>46471.0</v>
      </c>
      <c r="B306" s="4" t="str">
        <f t="shared" si="1"/>
        <v>Sem 44</v>
      </c>
      <c r="C306" s="4" t="str">
        <f t="shared" si="2"/>
        <v>Jueves</v>
      </c>
      <c r="D306" s="11"/>
      <c r="E306" s="11"/>
      <c r="F306" s="11"/>
      <c r="G306" s="6" t="str">
        <f t="shared" si="3"/>
        <v/>
      </c>
      <c r="H306" s="11"/>
      <c r="I306" s="6" t="str">
        <f t="shared" si="4"/>
        <v/>
      </c>
      <c r="J306" s="11"/>
      <c r="K306" s="6" t="str">
        <f t="shared" si="5"/>
        <v/>
      </c>
      <c r="L306" s="11"/>
      <c r="M306" s="6" t="str">
        <f t="shared" si="6"/>
        <v/>
      </c>
      <c r="N306" s="11"/>
      <c r="O306" s="6" t="str">
        <f t="shared" si="7"/>
        <v/>
      </c>
      <c r="P306" s="12"/>
      <c r="Q306" s="8" t="str">
        <f>IF(P306="","",P306*'Config  Metas'!$B$10)</f>
        <v/>
      </c>
      <c r="R306" s="4" t="str">
        <f>IF(COUNTA(D306,E306,F306,H306,J306,L306,N306,P306)=0,"",IF(AND(D306&gt;0,E306/D306&lt;'Config  Metas'!$B$8),"🚨 COBERTURA DE LLAMADOS BAJA",IF(G306&lt;'Config  Metas'!$B$2,"🚨 CONTACTO BAJO",IF(I306&lt;'Config  Metas'!$B$3,"🚨 AGENDAMIENTO BAJO",IF(K306&lt;'Config  Metas'!$B$4,"⚠️ SHOW BAJO",IF(M306&lt;'Config  Metas'!$B$5,"🚨 RESERVA BAJA",IF(O306&lt;'Config  Metas'!$B$6,"🚨 CIERRE BAJO",IF(P306&lt;D306*'Config  Metas'!$B$15*'Config  Metas'!$B$9,"🔻 UF BAJO RITMO DINÁMICO","✅ DÍA SOBRE RITMO"))))))))</f>
        <v/>
      </c>
      <c r="S306" s="10"/>
      <c r="T306" s="10"/>
      <c r="U306" s="2"/>
      <c r="V306" s="2"/>
      <c r="W306" s="2"/>
      <c r="X306" s="2"/>
      <c r="Y306" s="2"/>
      <c r="Z306" s="2"/>
    </row>
    <row r="307" ht="15.75" customHeight="1">
      <c r="A307" s="3">
        <v>46472.0</v>
      </c>
      <c r="B307" s="4" t="str">
        <f t="shared" si="1"/>
        <v>Sem 44</v>
      </c>
      <c r="C307" s="4" t="str">
        <f t="shared" si="2"/>
        <v>Viernes</v>
      </c>
      <c r="D307" s="11"/>
      <c r="E307" s="11"/>
      <c r="F307" s="11"/>
      <c r="G307" s="6" t="str">
        <f t="shared" si="3"/>
        <v/>
      </c>
      <c r="H307" s="11"/>
      <c r="I307" s="6" t="str">
        <f t="shared" si="4"/>
        <v/>
      </c>
      <c r="J307" s="11"/>
      <c r="K307" s="6" t="str">
        <f t="shared" si="5"/>
        <v/>
      </c>
      <c r="L307" s="11"/>
      <c r="M307" s="6" t="str">
        <f t="shared" si="6"/>
        <v/>
      </c>
      <c r="N307" s="11"/>
      <c r="O307" s="6" t="str">
        <f t="shared" si="7"/>
        <v/>
      </c>
      <c r="P307" s="12"/>
      <c r="Q307" s="8" t="str">
        <f>IF(P307="","",P307*'Config  Metas'!$B$10)</f>
        <v/>
      </c>
      <c r="R307" s="4" t="str">
        <f>IF(COUNTA(D307,E307,F307,H307,J307,L307,N307,P307)=0,"",IF(AND(D307&gt;0,E307/D307&lt;'Config  Metas'!$B$8),"🚨 COBERTURA DE LLAMADOS BAJA",IF(G307&lt;'Config  Metas'!$B$2,"🚨 CONTACTO BAJO",IF(I307&lt;'Config  Metas'!$B$3,"🚨 AGENDAMIENTO BAJO",IF(K307&lt;'Config  Metas'!$B$4,"⚠️ SHOW BAJO",IF(M307&lt;'Config  Metas'!$B$5,"🚨 RESERVA BAJA",IF(O307&lt;'Config  Metas'!$B$6,"🚨 CIERRE BAJO",IF(P307&lt;D307*'Config  Metas'!$B$15*'Config  Metas'!$B$9,"🔻 UF BAJO RITMO DINÁMICO","✅ DÍA SOBRE RITMO"))))))))</f>
        <v/>
      </c>
      <c r="S307" s="10"/>
      <c r="T307" s="10"/>
      <c r="U307" s="2"/>
      <c r="V307" s="2"/>
      <c r="W307" s="2"/>
      <c r="X307" s="2"/>
      <c r="Y307" s="2"/>
      <c r="Z307" s="2"/>
    </row>
    <row r="308" ht="15.75" customHeight="1">
      <c r="A308" s="3">
        <v>46473.0</v>
      </c>
      <c r="B308" s="4" t="str">
        <f t="shared" si="1"/>
        <v>Sem 44</v>
      </c>
      <c r="C308" s="4" t="str">
        <f t="shared" si="2"/>
        <v>Sábado</v>
      </c>
      <c r="D308" s="11"/>
      <c r="E308" s="11"/>
      <c r="F308" s="11"/>
      <c r="G308" s="6" t="str">
        <f t="shared" si="3"/>
        <v/>
      </c>
      <c r="H308" s="11"/>
      <c r="I308" s="6" t="str">
        <f t="shared" si="4"/>
        <v/>
      </c>
      <c r="J308" s="11"/>
      <c r="K308" s="6" t="str">
        <f t="shared" si="5"/>
        <v/>
      </c>
      <c r="L308" s="11"/>
      <c r="M308" s="6" t="str">
        <f t="shared" si="6"/>
        <v/>
      </c>
      <c r="N308" s="11"/>
      <c r="O308" s="6" t="str">
        <f t="shared" si="7"/>
        <v/>
      </c>
      <c r="P308" s="12"/>
      <c r="Q308" s="8" t="str">
        <f>IF(P308="","",P308*'Config  Metas'!$B$10)</f>
        <v/>
      </c>
      <c r="R308" s="4" t="str">
        <f>IF(COUNTA(D308,E308,F308,H308,J308,L308,N308,P308)=0,"",IF(AND(D308&gt;0,E308/D308&lt;'Config  Metas'!$B$8),"🚨 COBERTURA DE LLAMADOS BAJA",IF(G308&lt;'Config  Metas'!$B$2,"🚨 CONTACTO BAJO",IF(I308&lt;'Config  Metas'!$B$3,"🚨 AGENDAMIENTO BAJO",IF(K308&lt;'Config  Metas'!$B$4,"⚠️ SHOW BAJO",IF(M308&lt;'Config  Metas'!$B$5,"🚨 RESERVA BAJA",IF(O308&lt;'Config  Metas'!$B$6,"🚨 CIERRE BAJO",IF(P308&lt;D308*'Config  Metas'!$B$15*'Config  Metas'!$B$9,"🔻 UF BAJO RITMO DINÁMICO","✅ DÍA SOBRE RITMO"))))))))</f>
        <v/>
      </c>
      <c r="S308" s="10"/>
      <c r="T308" s="10"/>
      <c r="U308" s="2"/>
      <c r="V308" s="2"/>
      <c r="W308" s="2"/>
      <c r="X308" s="2"/>
      <c r="Y308" s="2"/>
      <c r="Z308" s="2"/>
    </row>
    <row r="309" ht="15.75" customHeight="1">
      <c r="A309" s="3">
        <v>46474.0</v>
      </c>
      <c r="B309" s="4" t="str">
        <f t="shared" si="1"/>
        <v>Sem 44</v>
      </c>
      <c r="C309" s="4" t="str">
        <f t="shared" si="2"/>
        <v>Domingo</v>
      </c>
      <c r="D309" s="11"/>
      <c r="E309" s="11"/>
      <c r="F309" s="11"/>
      <c r="G309" s="6" t="str">
        <f t="shared" si="3"/>
        <v/>
      </c>
      <c r="H309" s="11"/>
      <c r="I309" s="6" t="str">
        <f t="shared" si="4"/>
        <v/>
      </c>
      <c r="J309" s="11"/>
      <c r="K309" s="6" t="str">
        <f t="shared" si="5"/>
        <v/>
      </c>
      <c r="L309" s="11"/>
      <c r="M309" s="6" t="str">
        <f t="shared" si="6"/>
        <v/>
      </c>
      <c r="N309" s="11"/>
      <c r="O309" s="6" t="str">
        <f t="shared" si="7"/>
        <v/>
      </c>
      <c r="P309" s="12"/>
      <c r="Q309" s="8" t="str">
        <f>IF(P309="","",P309*'Config  Metas'!$B$10)</f>
        <v/>
      </c>
      <c r="R309" s="4" t="str">
        <f>IF(COUNTA(D309,E309,F309,H309,J309,L309,N309,P309)=0,"",IF(AND(D309&gt;0,E309/D309&lt;'Config  Metas'!$B$8),"🚨 COBERTURA DE LLAMADOS BAJA",IF(G309&lt;'Config  Metas'!$B$2,"🚨 CONTACTO BAJO",IF(I309&lt;'Config  Metas'!$B$3,"🚨 AGENDAMIENTO BAJO",IF(K309&lt;'Config  Metas'!$B$4,"⚠️ SHOW BAJO",IF(M309&lt;'Config  Metas'!$B$5,"🚨 RESERVA BAJA",IF(O309&lt;'Config  Metas'!$B$6,"🚨 CIERRE BAJO",IF(P309&lt;D309*'Config  Metas'!$B$15*'Config  Metas'!$B$9,"🔻 UF BAJO RITMO DINÁMICO","✅ DÍA SOBRE RITMO"))))))))</f>
        <v/>
      </c>
      <c r="S309" s="10"/>
      <c r="T309" s="10"/>
      <c r="U309" s="2"/>
      <c r="V309" s="2"/>
      <c r="W309" s="2"/>
      <c r="X309" s="2"/>
      <c r="Y309" s="2"/>
      <c r="Z309" s="2"/>
    </row>
    <row r="310" ht="15.75" customHeight="1">
      <c r="A310" s="3">
        <v>46475.0</v>
      </c>
      <c r="B310" s="4" t="str">
        <f t="shared" si="1"/>
        <v>Sem 45</v>
      </c>
      <c r="C310" s="4" t="str">
        <f t="shared" si="2"/>
        <v>Lunes</v>
      </c>
      <c r="D310" s="11"/>
      <c r="E310" s="11"/>
      <c r="F310" s="11"/>
      <c r="G310" s="6" t="str">
        <f t="shared" si="3"/>
        <v/>
      </c>
      <c r="H310" s="11"/>
      <c r="I310" s="6" t="str">
        <f t="shared" si="4"/>
        <v/>
      </c>
      <c r="J310" s="11"/>
      <c r="K310" s="6" t="str">
        <f t="shared" si="5"/>
        <v/>
      </c>
      <c r="L310" s="11"/>
      <c r="M310" s="6" t="str">
        <f t="shared" si="6"/>
        <v/>
      </c>
      <c r="N310" s="11"/>
      <c r="O310" s="6" t="str">
        <f t="shared" si="7"/>
        <v/>
      </c>
      <c r="P310" s="12"/>
      <c r="Q310" s="8" t="str">
        <f>IF(P310="","",P310*'Config  Metas'!$B$10)</f>
        <v/>
      </c>
      <c r="R310" s="4" t="str">
        <f>IF(COUNTA(D310,E310,F310,H310,J310,L310,N310,P310)=0,"",IF(AND(D310&gt;0,E310/D310&lt;'Config  Metas'!$B$8),"🚨 COBERTURA DE LLAMADOS BAJA",IF(G310&lt;'Config  Metas'!$B$2,"🚨 CONTACTO BAJO",IF(I310&lt;'Config  Metas'!$B$3,"🚨 AGENDAMIENTO BAJO",IF(K310&lt;'Config  Metas'!$B$4,"⚠️ SHOW BAJO",IF(M310&lt;'Config  Metas'!$B$5,"🚨 RESERVA BAJA",IF(O310&lt;'Config  Metas'!$B$6,"🚨 CIERRE BAJO",IF(P310&lt;D310*'Config  Metas'!$B$15*'Config  Metas'!$B$9,"🔻 UF BAJO RITMO DINÁMICO","✅ DÍA SOBRE RITMO"))))))))</f>
        <v/>
      </c>
      <c r="S310" s="10"/>
      <c r="T310" s="10"/>
      <c r="U310" s="2"/>
      <c r="V310" s="2"/>
      <c r="W310" s="2"/>
      <c r="X310" s="2"/>
      <c r="Y310" s="2"/>
      <c r="Z310" s="2"/>
    </row>
    <row r="311" ht="15.75" customHeight="1">
      <c r="A311" s="3">
        <v>46476.0</v>
      </c>
      <c r="B311" s="4" t="str">
        <f t="shared" si="1"/>
        <v>Sem 45</v>
      </c>
      <c r="C311" s="4" t="str">
        <f t="shared" si="2"/>
        <v>Martes</v>
      </c>
      <c r="D311" s="11"/>
      <c r="E311" s="11"/>
      <c r="F311" s="11"/>
      <c r="G311" s="6" t="str">
        <f t="shared" si="3"/>
        <v/>
      </c>
      <c r="H311" s="11"/>
      <c r="I311" s="6" t="str">
        <f t="shared" si="4"/>
        <v/>
      </c>
      <c r="J311" s="11"/>
      <c r="K311" s="6" t="str">
        <f t="shared" si="5"/>
        <v/>
      </c>
      <c r="L311" s="11"/>
      <c r="M311" s="6" t="str">
        <f t="shared" si="6"/>
        <v/>
      </c>
      <c r="N311" s="11"/>
      <c r="O311" s="6" t="str">
        <f t="shared" si="7"/>
        <v/>
      </c>
      <c r="P311" s="12"/>
      <c r="Q311" s="8" t="str">
        <f>IF(P311="","",P311*'Config  Metas'!$B$10)</f>
        <v/>
      </c>
      <c r="R311" s="4" t="str">
        <f>IF(COUNTA(D311,E311,F311,H311,J311,L311,N311,P311)=0,"",IF(AND(D311&gt;0,E311/D311&lt;'Config  Metas'!$B$8),"🚨 COBERTURA DE LLAMADOS BAJA",IF(G311&lt;'Config  Metas'!$B$2,"🚨 CONTACTO BAJO",IF(I311&lt;'Config  Metas'!$B$3,"🚨 AGENDAMIENTO BAJO",IF(K311&lt;'Config  Metas'!$B$4,"⚠️ SHOW BAJO",IF(M311&lt;'Config  Metas'!$B$5,"🚨 RESERVA BAJA",IF(O311&lt;'Config  Metas'!$B$6,"🚨 CIERRE BAJO",IF(P311&lt;D311*'Config  Metas'!$B$15*'Config  Metas'!$B$9,"🔻 UF BAJO RITMO DINÁMICO","✅ DÍA SOBRE RITMO"))))))))</f>
        <v/>
      </c>
      <c r="S311" s="10"/>
      <c r="T311" s="10"/>
      <c r="U311" s="2"/>
      <c r="V311" s="2"/>
      <c r="W311" s="2"/>
      <c r="X311" s="2"/>
      <c r="Y311" s="2"/>
      <c r="Z311" s="2"/>
    </row>
    <row r="312" ht="15.75" customHeight="1">
      <c r="A312" s="3">
        <v>46477.0</v>
      </c>
      <c r="B312" s="4" t="str">
        <f t="shared" si="1"/>
        <v>Sem 45</v>
      </c>
      <c r="C312" s="4" t="str">
        <f t="shared" si="2"/>
        <v>Miércoles</v>
      </c>
      <c r="D312" s="11"/>
      <c r="E312" s="11"/>
      <c r="F312" s="11"/>
      <c r="G312" s="6" t="str">
        <f t="shared" si="3"/>
        <v/>
      </c>
      <c r="H312" s="11"/>
      <c r="I312" s="6" t="str">
        <f t="shared" si="4"/>
        <v/>
      </c>
      <c r="J312" s="11"/>
      <c r="K312" s="6" t="str">
        <f t="shared" si="5"/>
        <v/>
      </c>
      <c r="L312" s="11"/>
      <c r="M312" s="6" t="str">
        <f t="shared" si="6"/>
        <v/>
      </c>
      <c r="N312" s="11"/>
      <c r="O312" s="6" t="str">
        <f t="shared" si="7"/>
        <v/>
      </c>
      <c r="P312" s="12"/>
      <c r="Q312" s="8" t="str">
        <f>IF(P312="","",P312*'Config  Metas'!$B$10)</f>
        <v/>
      </c>
      <c r="R312" s="4" t="str">
        <f>IF(COUNTA(D312,E312,F312,H312,J312,L312,N312,P312)=0,"",IF(AND(D312&gt;0,E312/D312&lt;'Config  Metas'!$B$8),"🚨 COBERTURA DE LLAMADOS BAJA",IF(G312&lt;'Config  Metas'!$B$2,"🚨 CONTACTO BAJO",IF(I312&lt;'Config  Metas'!$B$3,"🚨 AGENDAMIENTO BAJO",IF(K312&lt;'Config  Metas'!$B$4,"⚠️ SHOW BAJO",IF(M312&lt;'Config  Metas'!$B$5,"🚨 RESERVA BAJA",IF(O312&lt;'Config  Metas'!$B$6,"🚨 CIERRE BAJO",IF(P312&lt;D312*'Config  Metas'!$B$15*'Config  Metas'!$B$9,"🔻 UF BAJO RITMO DINÁMICO","✅ DÍA SOBRE RITMO"))))))))</f>
        <v/>
      </c>
      <c r="S312" s="10"/>
      <c r="T312" s="10"/>
      <c r="U312" s="2"/>
      <c r="V312" s="2"/>
      <c r="W312" s="2"/>
      <c r="X312" s="2"/>
      <c r="Y312" s="2"/>
      <c r="Z312" s="2"/>
    </row>
    <row r="313" ht="15.75" customHeight="1">
      <c r="A313" s="3">
        <v>46478.0</v>
      </c>
      <c r="B313" s="4" t="str">
        <f t="shared" si="1"/>
        <v>Sem 45</v>
      </c>
      <c r="C313" s="4" t="str">
        <f t="shared" si="2"/>
        <v>Jueves</v>
      </c>
      <c r="D313" s="11"/>
      <c r="E313" s="11"/>
      <c r="F313" s="11"/>
      <c r="G313" s="6" t="str">
        <f t="shared" si="3"/>
        <v/>
      </c>
      <c r="H313" s="11"/>
      <c r="I313" s="6" t="str">
        <f t="shared" si="4"/>
        <v/>
      </c>
      <c r="J313" s="11"/>
      <c r="K313" s="6" t="str">
        <f t="shared" si="5"/>
        <v/>
      </c>
      <c r="L313" s="11"/>
      <c r="M313" s="6" t="str">
        <f t="shared" si="6"/>
        <v/>
      </c>
      <c r="N313" s="11"/>
      <c r="O313" s="6" t="str">
        <f t="shared" si="7"/>
        <v/>
      </c>
      <c r="P313" s="12"/>
      <c r="Q313" s="8" t="str">
        <f>IF(P313="","",P313*'Config  Metas'!$B$10)</f>
        <v/>
      </c>
      <c r="R313" s="4" t="str">
        <f>IF(COUNTA(D313,E313,F313,H313,J313,L313,N313,P313)=0,"",IF(AND(D313&gt;0,E313/D313&lt;'Config  Metas'!$B$8),"🚨 COBERTURA DE LLAMADOS BAJA",IF(G313&lt;'Config  Metas'!$B$2,"🚨 CONTACTO BAJO",IF(I313&lt;'Config  Metas'!$B$3,"🚨 AGENDAMIENTO BAJO",IF(K313&lt;'Config  Metas'!$B$4,"⚠️ SHOW BAJO",IF(M313&lt;'Config  Metas'!$B$5,"🚨 RESERVA BAJA",IF(O313&lt;'Config  Metas'!$B$6,"🚨 CIERRE BAJO",IF(P313&lt;D313*'Config  Metas'!$B$15*'Config  Metas'!$B$9,"🔻 UF BAJO RITMO DINÁMICO","✅ DÍA SOBRE RITMO"))))))))</f>
        <v/>
      </c>
      <c r="S313" s="10"/>
      <c r="T313" s="10"/>
      <c r="U313" s="2"/>
      <c r="V313" s="2"/>
      <c r="W313" s="2"/>
      <c r="X313" s="2"/>
      <c r="Y313" s="2"/>
      <c r="Z313" s="2"/>
    </row>
    <row r="314" ht="15.75" customHeight="1">
      <c r="A314" s="3">
        <v>46479.0</v>
      </c>
      <c r="B314" s="4" t="str">
        <f t="shared" si="1"/>
        <v>Sem 45</v>
      </c>
      <c r="C314" s="4" t="str">
        <f t="shared" si="2"/>
        <v>Viernes</v>
      </c>
      <c r="D314" s="11"/>
      <c r="E314" s="11"/>
      <c r="F314" s="11"/>
      <c r="G314" s="6" t="str">
        <f t="shared" si="3"/>
        <v/>
      </c>
      <c r="H314" s="11"/>
      <c r="I314" s="6" t="str">
        <f t="shared" si="4"/>
        <v/>
      </c>
      <c r="J314" s="11"/>
      <c r="K314" s="6" t="str">
        <f t="shared" si="5"/>
        <v/>
      </c>
      <c r="L314" s="11"/>
      <c r="M314" s="6" t="str">
        <f t="shared" si="6"/>
        <v/>
      </c>
      <c r="N314" s="11"/>
      <c r="O314" s="6" t="str">
        <f t="shared" si="7"/>
        <v/>
      </c>
      <c r="P314" s="12"/>
      <c r="Q314" s="8" t="str">
        <f>IF(P314="","",P314*'Config  Metas'!$B$10)</f>
        <v/>
      </c>
      <c r="R314" s="4" t="str">
        <f>IF(COUNTA(D314,E314,F314,H314,J314,L314,N314,P314)=0,"",IF(AND(D314&gt;0,E314/D314&lt;'Config  Metas'!$B$8),"🚨 COBERTURA DE LLAMADOS BAJA",IF(G314&lt;'Config  Metas'!$B$2,"🚨 CONTACTO BAJO",IF(I314&lt;'Config  Metas'!$B$3,"🚨 AGENDAMIENTO BAJO",IF(K314&lt;'Config  Metas'!$B$4,"⚠️ SHOW BAJO",IF(M314&lt;'Config  Metas'!$B$5,"🚨 RESERVA BAJA",IF(O314&lt;'Config  Metas'!$B$6,"🚨 CIERRE BAJO",IF(P314&lt;D314*'Config  Metas'!$B$15*'Config  Metas'!$B$9,"🔻 UF BAJO RITMO DINÁMICO","✅ DÍA SOBRE RITMO"))))))))</f>
        <v/>
      </c>
      <c r="S314" s="10"/>
      <c r="T314" s="10"/>
      <c r="U314" s="2"/>
      <c r="V314" s="2"/>
      <c r="W314" s="2"/>
      <c r="X314" s="2"/>
      <c r="Y314" s="2"/>
      <c r="Z314" s="2"/>
    </row>
    <row r="315" ht="15.75" customHeight="1">
      <c r="A315" s="3">
        <v>46480.0</v>
      </c>
      <c r="B315" s="4" t="str">
        <f t="shared" si="1"/>
        <v>Sem 45</v>
      </c>
      <c r="C315" s="4" t="str">
        <f t="shared" si="2"/>
        <v>Sábado</v>
      </c>
      <c r="D315" s="11"/>
      <c r="E315" s="11"/>
      <c r="F315" s="11"/>
      <c r="G315" s="6" t="str">
        <f t="shared" si="3"/>
        <v/>
      </c>
      <c r="H315" s="11"/>
      <c r="I315" s="6" t="str">
        <f t="shared" si="4"/>
        <v/>
      </c>
      <c r="J315" s="11"/>
      <c r="K315" s="6" t="str">
        <f t="shared" si="5"/>
        <v/>
      </c>
      <c r="L315" s="11"/>
      <c r="M315" s="6" t="str">
        <f t="shared" si="6"/>
        <v/>
      </c>
      <c r="N315" s="11"/>
      <c r="O315" s="6" t="str">
        <f t="shared" si="7"/>
        <v/>
      </c>
      <c r="P315" s="12"/>
      <c r="Q315" s="8" t="str">
        <f>IF(P315="","",P315*'Config  Metas'!$B$10)</f>
        <v/>
      </c>
      <c r="R315" s="4" t="str">
        <f>IF(COUNTA(D315,E315,F315,H315,J315,L315,N315,P315)=0,"",IF(AND(D315&gt;0,E315/D315&lt;'Config  Metas'!$B$8),"🚨 COBERTURA DE LLAMADOS BAJA",IF(G315&lt;'Config  Metas'!$B$2,"🚨 CONTACTO BAJO",IF(I315&lt;'Config  Metas'!$B$3,"🚨 AGENDAMIENTO BAJO",IF(K315&lt;'Config  Metas'!$B$4,"⚠️ SHOW BAJO",IF(M315&lt;'Config  Metas'!$B$5,"🚨 RESERVA BAJA",IF(O315&lt;'Config  Metas'!$B$6,"🚨 CIERRE BAJO",IF(P315&lt;D315*'Config  Metas'!$B$15*'Config  Metas'!$B$9,"🔻 UF BAJO RITMO DINÁMICO","✅ DÍA SOBRE RITMO"))))))))</f>
        <v/>
      </c>
      <c r="S315" s="10"/>
      <c r="T315" s="10"/>
      <c r="U315" s="2"/>
      <c r="V315" s="2"/>
      <c r="W315" s="2"/>
      <c r="X315" s="2"/>
      <c r="Y315" s="2"/>
      <c r="Z315" s="2"/>
    </row>
    <row r="316" ht="15.75" customHeight="1">
      <c r="A316" s="3">
        <v>46481.0</v>
      </c>
      <c r="B316" s="4" t="str">
        <f t="shared" si="1"/>
        <v>Sem 45</v>
      </c>
      <c r="C316" s="4" t="str">
        <f t="shared" si="2"/>
        <v>Domingo</v>
      </c>
      <c r="D316" s="11"/>
      <c r="E316" s="11"/>
      <c r="F316" s="11"/>
      <c r="G316" s="6" t="str">
        <f t="shared" si="3"/>
        <v/>
      </c>
      <c r="H316" s="11"/>
      <c r="I316" s="6" t="str">
        <f t="shared" si="4"/>
        <v/>
      </c>
      <c r="J316" s="11"/>
      <c r="K316" s="6" t="str">
        <f t="shared" si="5"/>
        <v/>
      </c>
      <c r="L316" s="11"/>
      <c r="M316" s="6" t="str">
        <f t="shared" si="6"/>
        <v/>
      </c>
      <c r="N316" s="11"/>
      <c r="O316" s="6" t="str">
        <f t="shared" si="7"/>
        <v/>
      </c>
      <c r="P316" s="12"/>
      <c r="Q316" s="8" t="str">
        <f>IF(P316="","",P316*'Config  Metas'!$B$10)</f>
        <v/>
      </c>
      <c r="R316" s="4" t="str">
        <f>IF(COUNTA(D316,E316,F316,H316,J316,L316,N316,P316)=0,"",IF(AND(D316&gt;0,E316/D316&lt;'Config  Metas'!$B$8),"🚨 COBERTURA DE LLAMADOS BAJA",IF(G316&lt;'Config  Metas'!$B$2,"🚨 CONTACTO BAJO",IF(I316&lt;'Config  Metas'!$B$3,"🚨 AGENDAMIENTO BAJO",IF(K316&lt;'Config  Metas'!$B$4,"⚠️ SHOW BAJO",IF(M316&lt;'Config  Metas'!$B$5,"🚨 RESERVA BAJA",IF(O316&lt;'Config  Metas'!$B$6,"🚨 CIERRE BAJO",IF(P316&lt;D316*'Config  Metas'!$B$15*'Config  Metas'!$B$9,"🔻 UF BAJO RITMO DINÁMICO","✅ DÍA SOBRE RITMO"))))))))</f>
        <v/>
      </c>
      <c r="S316" s="10"/>
      <c r="T316" s="10"/>
      <c r="U316" s="2"/>
      <c r="V316" s="2"/>
      <c r="W316" s="2"/>
      <c r="X316" s="2"/>
      <c r="Y316" s="2"/>
      <c r="Z316" s="2"/>
    </row>
    <row r="317" ht="15.75" customHeight="1">
      <c r="A317" s="3">
        <v>46482.0</v>
      </c>
      <c r="B317" s="4" t="str">
        <f t="shared" si="1"/>
        <v>Sem 46</v>
      </c>
      <c r="C317" s="4" t="str">
        <f t="shared" si="2"/>
        <v>Lunes</v>
      </c>
      <c r="D317" s="11"/>
      <c r="E317" s="11"/>
      <c r="F317" s="11"/>
      <c r="G317" s="6" t="str">
        <f t="shared" si="3"/>
        <v/>
      </c>
      <c r="H317" s="11"/>
      <c r="I317" s="6" t="str">
        <f t="shared" si="4"/>
        <v/>
      </c>
      <c r="J317" s="11"/>
      <c r="K317" s="6" t="str">
        <f t="shared" si="5"/>
        <v/>
      </c>
      <c r="L317" s="11"/>
      <c r="M317" s="6" t="str">
        <f t="shared" si="6"/>
        <v/>
      </c>
      <c r="N317" s="11"/>
      <c r="O317" s="6" t="str">
        <f t="shared" si="7"/>
        <v/>
      </c>
      <c r="P317" s="12"/>
      <c r="Q317" s="8" t="str">
        <f>IF(P317="","",P317*'Config  Metas'!$B$10)</f>
        <v/>
      </c>
      <c r="R317" s="4" t="str">
        <f>IF(COUNTA(D317,E317,F317,H317,J317,L317,N317,P317)=0,"",IF(AND(D317&gt;0,E317/D317&lt;'Config  Metas'!$B$8),"🚨 COBERTURA DE LLAMADOS BAJA",IF(G317&lt;'Config  Metas'!$B$2,"🚨 CONTACTO BAJO",IF(I317&lt;'Config  Metas'!$B$3,"🚨 AGENDAMIENTO BAJO",IF(K317&lt;'Config  Metas'!$B$4,"⚠️ SHOW BAJO",IF(M317&lt;'Config  Metas'!$B$5,"🚨 RESERVA BAJA",IF(O317&lt;'Config  Metas'!$B$6,"🚨 CIERRE BAJO",IF(P317&lt;D317*'Config  Metas'!$B$15*'Config  Metas'!$B$9,"🔻 UF BAJO RITMO DINÁMICO","✅ DÍA SOBRE RITMO"))))))))</f>
        <v/>
      </c>
      <c r="S317" s="10"/>
      <c r="T317" s="10"/>
      <c r="U317" s="2"/>
      <c r="V317" s="2"/>
      <c r="W317" s="2"/>
      <c r="X317" s="2"/>
      <c r="Y317" s="2"/>
      <c r="Z317" s="2"/>
    </row>
    <row r="318" ht="15.75" customHeight="1">
      <c r="A318" s="3">
        <v>46483.0</v>
      </c>
      <c r="B318" s="4" t="str">
        <f t="shared" si="1"/>
        <v>Sem 46</v>
      </c>
      <c r="C318" s="4" t="str">
        <f t="shared" si="2"/>
        <v>Martes</v>
      </c>
      <c r="D318" s="11"/>
      <c r="E318" s="11"/>
      <c r="F318" s="11"/>
      <c r="G318" s="6" t="str">
        <f t="shared" si="3"/>
        <v/>
      </c>
      <c r="H318" s="11"/>
      <c r="I318" s="6" t="str">
        <f t="shared" si="4"/>
        <v/>
      </c>
      <c r="J318" s="11"/>
      <c r="K318" s="6" t="str">
        <f t="shared" si="5"/>
        <v/>
      </c>
      <c r="L318" s="11"/>
      <c r="M318" s="6" t="str">
        <f t="shared" si="6"/>
        <v/>
      </c>
      <c r="N318" s="11"/>
      <c r="O318" s="6" t="str">
        <f t="shared" si="7"/>
        <v/>
      </c>
      <c r="P318" s="12"/>
      <c r="Q318" s="8" t="str">
        <f>IF(P318="","",P318*'Config  Metas'!$B$10)</f>
        <v/>
      </c>
      <c r="R318" s="4" t="str">
        <f>IF(COUNTA(D318,E318,F318,H318,J318,L318,N318,P318)=0,"",IF(AND(D318&gt;0,E318/D318&lt;'Config  Metas'!$B$8),"🚨 COBERTURA DE LLAMADOS BAJA",IF(G318&lt;'Config  Metas'!$B$2,"🚨 CONTACTO BAJO",IF(I318&lt;'Config  Metas'!$B$3,"🚨 AGENDAMIENTO BAJO",IF(K318&lt;'Config  Metas'!$B$4,"⚠️ SHOW BAJO",IF(M318&lt;'Config  Metas'!$B$5,"🚨 RESERVA BAJA",IF(O318&lt;'Config  Metas'!$B$6,"🚨 CIERRE BAJO",IF(P318&lt;D318*'Config  Metas'!$B$15*'Config  Metas'!$B$9,"🔻 UF BAJO RITMO DINÁMICO","✅ DÍA SOBRE RITMO"))))))))</f>
        <v/>
      </c>
      <c r="S318" s="10"/>
      <c r="T318" s="10"/>
      <c r="U318" s="2"/>
      <c r="V318" s="2"/>
      <c r="W318" s="2"/>
      <c r="X318" s="2"/>
      <c r="Y318" s="2"/>
      <c r="Z318" s="2"/>
    </row>
    <row r="319" ht="15.75" customHeight="1">
      <c r="A319" s="3">
        <v>46484.0</v>
      </c>
      <c r="B319" s="4" t="str">
        <f t="shared" si="1"/>
        <v>Sem 46</v>
      </c>
      <c r="C319" s="4" t="str">
        <f t="shared" si="2"/>
        <v>Miércoles</v>
      </c>
      <c r="D319" s="11"/>
      <c r="E319" s="11"/>
      <c r="F319" s="11"/>
      <c r="G319" s="6" t="str">
        <f t="shared" si="3"/>
        <v/>
      </c>
      <c r="H319" s="11"/>
      <c r="I319" s="6" t="str">
        <f t="shared" si="4"/>
        <v/>
      </c>
      <c r="J319" s="11"/>
      <c r="K319" s="6" t="str">
        <f t="shared" si="5"/>
        <v/>
      </c>
      <c r="L319" s="11"/>
      <c r="M319" s="6" t="str">
        <f t="shared" si="6"/>
        <v/>
      </c>
      <c r="N319" s="11"/>
      <c r="O319" s="6" t="str">
        <f t="shared" si="7"/>
        <v/>
      </c>
      <c r="P319" s="12"/>
      <c r="Q319" s="8" t="str">
        <f>IF(P319="","",P319*'Config  Metas'!$B$10)</f>
        <v/>
      </c>
      <c r="R319" s="4" t="str">
        <f>IF(COUNTA(D319,E319,F319,H319,J319,L319,N319,P319)=0,"",IF(AND(D319&gt;0,E319/D319&lt;'Config  Metas'!$B$8),"🚨 COBERTURA DE LLAMADOS BAJA",IF(G319&lt;'Config  Metas'!$B$2,"🚨 CONTACTO BAJO",IF(I319&lt;'Config  Metas'!$B$3,"🚨 AGENDAMIENTO BAJO",IF(K319&lt;'Config  Metas'!$B$4,"⚠️ SHOW BAJO",IF(M319&lt;'Config  Metas'!$B$5,"🚨 RESERVA BAJA",IF(O319&lt;'Config  Metas'!$B$6,"🚨 CIERRE BAJO",IF(P319&lt;D319*'Config  Metas'!$B$15*'Config  Metas'!$B$9,"🔻 UF BAJO RITMO DINÁMICO","✅ DÍA SOBRE RITMO"))))))))</f>
        <v/>
      </c>
      <c r="S319" s="10"/>
      <c r="T319" s="10"/>
      <c r="U319" s="2"/>
      <c r="V319" s="2"/>
      <c r="W319" s="2"/>
      <c r="X319" s="2"/>
      <c r="Y319" s="2"/>
      <c r="Z319" s="2"/>
    </row>
    <row r="320" ht="15.75" customHeight="1">
      <c r="A320" s="3">
        <v>46485.0</v>
      </c>
      <c r="B320" s="4" t="str">
        <f t="shared" si="1"/>
        <v>Sem 46</v>
      </c>
      <c r="C320" s="4" t="str">
        <f t="shared" si="2"/>
        <v>Jueves</v>
      </c>
      <c r="D320" s="11"/>
      <c r="E320" s="11"/>
      <c r="F320" s="11"/>
      <c r="G320" s="6" t="str">
        <f t="shared" si="3"/>
        <v/>
      </c>
      <c r="H320" s="11"/>
      <c r="I320" s="6" t="str">
        <f t="shared" si="4"/>
        <v/>
      </c>
      <c r="J320" s="11"/>
      <c r="K320" s="6" t="str">
        <f t="shared" si="5"/>
        <v/>
      </c>
      <c r="L320" s="11"/>
      <c r="M320" s="6" t="str">
        <f t="shared" si="6"/>
        <v/>
      </c>
      <c r="N320" s="11"/>
      <c r="O320" s="6" t="str">
        <f t="shared" si="7"/>
        <v/>
      </c>
      <c r="P320" s="12"/>
      <c r="Q320" s="8" t="str">
        <f>IF(P320="","",P320*'Config  Metas'!$B$10)</f>
        <v/>
      </c>
      <c r="R320" s="4" t="str">
        <f>IF(COUNTA(D320,E320,F320,H320,J320,L320,N320,P320)=0,"",IF(AND(D320&gt;0,E320/D320&lt;'Config  Metas'!$B$8),"🚨 COBERTURA DE LLAMADOS BAJA",IF(G320&lt;'Config  Metas'!$B$2,"🚨 CONTACTO BAJO",IF(I320&lt;'Config  Metas'!$B$3,"🚨 AGENDAMIENTO BAJO",IF(K320&lt;'Config  Metas'!$B$4,"⚠️ SHOW BAJO",IF(M320&lt;'Config  Metas'!$B$5,"🚨 RESERVA BAJA",IF(O320&lt;'Config  Metas'!$B$6,"🚨 CIERRE BAJO",IF(P320&lt;D320*'Config  Metas'!$B$15*'Config  Metas'!$B$9,"🔻 UF BAJO RITMO DINÁMICO","✅ DÍA SOBRE RITMO"))))))))</f>
        <v/>
      </c>
      <c r="S320" s="10"/>
      <c r="T320" s="10"/>
      <c r="U320" s="2"/>
      <c r="V320" s="2"/>
      <c r="W320" s="2"/>
      <c r="X320" s="2"/>
      <c r="Y320" s="2"/>
      <c r="Z320" s="2"/>
    </row>
    <row r="321" ht="15.75" customHeight="1">
      <c r="A321" s="3">
        <v>46486.0</v>
      </c>
      <c r="B321" s="4" t="str">
        <f t="shared" si="1"/>
        <v>Sem 46</v>
      </c>
      <c r="C321" s="4" t="str">
        <f t="shared" si="2"/>
        <v>Viernes</v>
      </c>
      <c r="D321" s="11"/>
      <c r="E321" s="11"/>
      <c r="F321" s="11"/>
      <c r="G321" s="6" t="str">
        <f t="shared" si="3"/>
        <v/>
      </c>
      <c r="H321" s="11"/>
      <c r="I321" s="6" t="str">
        <f t="shared" si="4"/>
        <v/>
      </c>
      <c r="J321" s="11"/>
      <c r="K321" s="6" t="str">
        <f t="shared" si="5"/>
        <v/>
      </c>
      <c r="L321" s="11"/>
      <c r="M321" s="6" t="str">
        <f t="shared" si="6"/>
        <v/>
      </c>
      <c r="N321" s="11"/>
      <c r="O321" s="6" t="str">
        <f t="shared" si="7"/>
        <v/>
      </c>
      <c r="P321" s="12"/>
      <c r="Q321" s="8" t="str">
        <f>IF(P321="","",P321*'Config  Metas'!$B$10)</f>
        <v/>
      </c>
      <c r="R321" s="4" t="str">
        <f>IF(COUNTA(D321,E321,F321,H321,J321,L321,N321,P321)=0,"",IF(AND(D321&gt;0,E321/D321&lt;'Config  Metas'!$B$8),"🚨 COBERTURA DE LLAMADOS BAJA",IF(G321&lt;'Config  Metas'!$B$2,"🚨 CONTACTO BAJO",IF(I321&lt;'Config  Metas'!$B$3,"🚨 AGENDAMIENTO BAJO",IF(K321&lt;'Config  Metas'!$B$4,"⚠️ SHOW BAJO",IF(M321&lt;'Config  Metas'!$B$5,"🚨 RESERVA BAJA",IF(O321&lt;'Config  Metas'!$B$6,"🚨 CIERRE BAJO",IF(P321&lt;D321*'Config  Metas'!$B$15*'Config  Metas'!$B$9,"🔻 UF BAJO RITMO DINÁMICO","✅ DÍA SOBRE RITMO"))))))))</f>
        <v/>
      </c>
      <c r="S321" s="10"/>
      <c r="T321" s="10"/>
      <c r="U321" s="2"/>
      <c r="V321" s="2"/>
      <c r="W321" s="2"/>
      <c r="X321" s="2"/>
      <c r="Y321" s="2"/>
      <c r="Z321" s="2"/>
    </row>
    <row r="322" ht="15.75" customHeight="1">
      <c r="A322" s="3">
        <v>46487.0</v>
      </c>
      <c r="B322" s="4" t="str">
        <f t="shared" si="1"/>
        <v>Sem 46</v>
      </c>
      <c r="C322" s="4" t="str">
        <f t="shared" si="2"/>
        <v>Sábado</v>
      </c>
      <c r="D322" s="11"/>
      <c r="E322" s="11"/>
      <c r="F322" s="11"/>
      <c r="G322" s="6" t="str">
        <f t="shared" si="3"/>
        <v/>
      </c>
      <c r="H322" s="11"/>
      <c r="I322" s="6" t="str">
        <f t="shared" si="4"/>
        <v/>
      </c>
      <c r="J322" s="11"/>
      <c r="K322" s="6" t="str">
        <f t="shared" si="5"/>
        <v/>
      </c>
      <c r="L322" s="11"/>
      <c r="M322" s="6" t="str">
        <f t="shared" si="6"/>
        <v/>
      </c>
      <c r="N322" s="11"/>
      <c r="O322" s="6" t="str">
        <f t="shared" si="7"/>
        <v/>
      </c>
      <c r="P322" s="12"/>
      <c r="Q322" s="8" t="str">
        <f>IF(P322="","",P322*'Config  Metas'!$B$10)</f>
        <v/>
      </c>
      <c r="R322" s="4" t="str">
        <f>IF(COUNTA(D322,E322,F322,H322,J322,L322,N322,P322)=0,"",IF(AND(D322&gt;0,E322/D322&lt;'Config  Metas'!$B$8),"🚨 COBERTURA DE LLAMADOS BAJA",IF(G322&lt;'Config  Metas'!$B$2,"🚨 CONTACTO BAJO",IF(I322&lt;'Config  Metas'!$B$3,"🚨 AGENDAMIENTO BAJO",IF(K322&lt;'Config  Metas'!$B$4,"⚠️ SHOW BAJO",IF(M322&lt;'Config  Metas'!$B$5,"🚨 RESERVA BAJA",IF(O322&lt;'Config  Metas'!$B$6,"🚨 CIERRE BAJO",IF(P322&lt;D322*'Config  Metas'!$B$15*'Config  Metas'!$B$9,"🔻 UF BAJO RITMO DINÁMICO","✅ DÍA SOBRE RITMO"))))))))</f>
        <v/>
      </c>
      <c r="S322" s="10"/>
      <c r="T322" s="10"/>
      <c r="U322" s="2"/>
      <c r="V322" s="2"/>
      <c r="W322" s="2"/>
      <c r="X322" s="2"/>
      <c r="Y322" s="2"/>
      <c r="Z322" s="2"/>
    </row>
    <row r="323" ht="15.75" customHeight="1">
      <c r="A323" s="3">
        <v>46488.0</v>
      </c>
      <c r="B323" s="4" t="str">
        <f t="shared" si="1"/>
        <v>Sem 46</v>
      </c>
      <c r="C323" s="4" t="str">
        <f t="shared" si="2"/>
        <v>Domingo</v>
      </c>
      <c r="D323" s="11"/>
      <c r="E323" s="11"/>
      <c r="F323" s="11"/>
      <c r="G323" s="6" t="str">
        <f t="shared" si="3"/>
        <v/>
      </c>
      <c r="H323" s="11"/>
      <c r="I323" s="6" t="str">
        <f t="shared" si="4"/>
        <v/>
      </c>
      <c r="J323" s="11"/>
      <c r="K323" s="6" t="str">
        <f t="shared" si="5"/>
        <v/>
      </c>
      <c r="L323" s="11"/>
      <c r="M323" s="6" t="str">
        <f t="shared" si="6"/>
        <v/>
      </c>
      <c r="N323" s="11"/>
      <c r="O323" s="6" t="str">
        <f t="shared" si="7"/>
        <v/>
      </c>
      <c r="P323" s="12"/>
      <c r="Q323" s="8" t="str">
        <f>IF(P323="","",P323*'Config  Metas'!$B$10)</f>
        <v/>
      </c>
      <c r="R323" s="4" t="str">
        <f>IF(COUNTA(D323,E323,F323,H323,J323,L323,N323,P323)=0,"",IF(AND(D323&gt;0,E323/D323&lt;'Config  Metas'!$B$8),"🚨 COBERTURA DE LLAMADOS BAJA",IF(G323&lt;'Config  Metas'!$B$2,"🚨 CONTACTO BAJO",IF(I323&lt;'Config  Metas'!$B$3,"🚨 AGENDAMIENTO BAJO",IF(K323&lt;'Config  Metas'!$B$4,"⚠️ SHOW BAJO",IF(M323&lt;'Config  Metas'!$B$5,"🚨 RESERVA BAJA",IF(O323&lt;'Config  Metas'!$B$6,"🚨 CIERRE BAJO",IF(P323&lt;D323*'Config  Metas'!$B$15*'Config  Metas'!$B$9,"🔻 UF BAJO RITMO DINÁMICO","✅ DÍA SOBRE RITMO"))))))))</f>
        <v/>
      </c>
      <c r="S323" s="10"/>
      <c r="T323" s="10"/>
      <c r="U323" s="2"/>
      <c r="V323" s="2"/>
      <c r="W323" s="2"/>
      <c r="X323" s="2"/>
      <c r="Y323" s="2"/>
      <c r="Z323" s="2"/>
    </row>
    <row r="324" ht="15.75" customHeight="1">
      <c r="A324" s="3">
        <v>46489.0</v>
      </c>
      <c r="B324" s="4" t="str">
        <f t="shared" si="1"/>
        <v>Sem 47</v>
      </c>
      <c r="C324" s="4" t="str">
        <f t="shared" si="2"/>
        <v>Lunes</v>
      </c>
      <c r="D324" s="11"/>
      <c r="E324" s="11"/>
      <c r="F324" s="11"/>
      <c r="G324" s="6" t="str">
        <f t="shared" si="3"/>
        <v/>
      </c>
      <c r="H324" s="11"/>
      <c r="I324" s="6" t="str">
        <f t="shared" si="4"/>
        <v/>
      </c>
      <c r="J324" s="11"/>
      <c r="K324" s="6" t="str">
        <f t="shared" si="5"/>
        <v/>
      </c>
      <c r="L324" s="11"/>
      <c r="M324" s="6" t="str">
        <f t="shared" si="6"/>
        <v/>
      </c>
      <c r="N324" s="11"/>
      <c r="O324" s="6" t="str">
        <f t="shared" si="7"/>
        <v/>
      </c>
      <c r="P324" s="12"/>
      <c r="Q324" s="8" t="str">
        <f>IF(P324="","",P324*'Config  Metas'!$B$10)</f>
        <v/>
      </c>
      <c r="R324" s="4" t="str">
        <f>IF(COUNTA(D324,E324,F324,H324,J324,L324,N324,P324)=0,"",IF(AND(D324&gt;0,E324/D324&lt;'Config  Metas'!$B$8),"🚨 COBERTURA DE LLAMADOS BAJA",IF(G324&lt;'Config  Metas'!$B$2,"🚨 CONTACTO BAJO",IF(I324&lt;'Config  Metas'!$B$3,"🚨 AGENDAMIENTO BAJO",IF(K324&lt;'Config  Metas'!$B$4,"⚠️ SHOW BAJO",IF(M324&lt;'Config  Metas'!$B$5,"🚨 RESERVA BAJA",IF(O324&lt;'Config  Metas'!$B$6,"🚨 CIERRE BAJO",IF(P324&lt;D324*'Config  Metas'!$B$15*'Config  Metas'!$B$9,"🔻 UF BAJO RITMO DINÁMICO","✅ DÍA SOBRE RITMO"))))))))</f>
        <v/>
      </c>
      <c r="S324" s="10"/>
      <c r="T324" s="10"/>
      <c r="U324" s="2"/>
      <c r="V324" s="2"/>
      <c r="W324" s="2"/>
      <c r="X324" s="2"/>
      <c r="Y324" s="2"/>
      <c r="Z324" s="2"/>
    </row>
    <row r="325" ht="15.75" customHeight="1">
      <c r="A325" s="3">
        <v>46490.0</v>
      </c>
      <c r="B325" s="4" t="str">
        <f t="shared" si="1"/>
        <v>Sem 47</v>
      </c>
      <c r="C325" s="4" t="str">
        <f t="shared" si="2"/>
        <v>Martes</v>
      </c>
      <c r="D325" s="11"/>
      <c r="E325" s="11"/>
      <c r="F325" s="11"/>
      <c r="G325" s="6" t="str">
        <f t="shared" si="3"/>
        <v/>
      </c>
      <c r="H325" s="11"/>
      <c r="I325" s="6" t="str">
        <f t="shared" si="4"/>
        <v/>
      </c>
      <c r="J325" s="11"/>
      <c r="K325" s="6" t="str">
        <f t="shared" si="5"/>
        <v/>
      </c>
      <c r="L325" s="11"/>
      <c r="M325" s="6" t="str">
        <f t="shared" si="6"/>
        <v/>
      </c>
      <c r="N325" s="11"/>
      <c r="O325" s="6" t="str">
        <f t="shared" si="7"/>
        <v/>
      </c>
      <c r="P325" s="12"/>
      <c r="Q325" s="8" t="str">
        <f>IF(P325="","",P325*'Config  Metas'!$B$10)</f>
        <v/>
      </c>
      <c r="R325" s="4" t="str">
        <f>IF(COUNTA(D325,E325,F325,H325,J325,L325,N325,P325)=0,"",IF(AND(D325&gt;0,E325/D325&lt;'Config  Metas'!$B$8),"🚨 COBERTURA DE LLAMADOS BAJA",IF(G325&lt;'Config  Metas'!$B$2,"🚨 CONTACTO BAJO",IF(I325&lt;'Config  Metas'!$B$3,"🚨 AGENDAMIENTO BAJO",IF(K325&lt;'Config  Metas'!$B$4,"⚠️ SHOW BAJO",IF(M325&lt;'Config  Metas'!$B$5,"🚨 RESERVA BAJA",IF(O325&lt;'Config  Metas'!$B$6,"🚨 CIERRE BAJO",IF(P325&lt;D325*'Config  Metas'!$B$15*'Config  Metas'!$B$9,"🔻 UF BAJO RITMO DINÁMICO","✅ DÍA SOBRE RITMO"))))))))</f>
        <v/>
      </c>
      <c r="S325" s="10"/>
      <c r="T325" s="10"/>
      <c r="U325" s="2"/>
      <c r="V325" s="2"/>
      <c r="W325" s="2"/>
      <c r="X325" s="2"/>
      <c r="Y325" s="2"/>
      <c r="Z325" s="2"/>
    </row>
    <row r="326" ht="15.75" customHeight="1">
      <c r="A326" s="3">
        <v>46491.0</v>
      </c>
      <c r="B326" s="4" t="str">
        <f t="shared" si="1"/>
        <v>Sem 47</v>
      </c>
      <c r="C326" s="4" t="str">
        <f t="shared" si="2"/>
        <v>Miércoles</v>
      </c>
      <c r="D326" s="11"/>
      <c r="E326" s="11"/>
      <c r="F326" s="11"/>
      <c r="G326" s="6" t="str">
        <f t="shared" si="3"/>
        <v/>
      </c>
      <c r="H326" s="11"/>
      <c r="I326" s="6" t="str">
        <f t="shared" si="4"/>
        <v/>
      </c>
      <c r="J326" s="11"/>
      <c r="K326" s="6" t="str">
        <f t="shared" si="5"/>
        <v/>
      </c>
      <c r="L326" s="11"/>
      <c r="M326" s="6" t="str">
        <f t="shared" si="6"/>
        <v/>
      </c>
      <c r="N326" s="11"/>
      <c r="O326" s="6" t="str">
        <f t="shared" si="7"/>
        <v/>
      </c>
      <c r="P326" s="12"/>
      <c r="Q326" s="8" t="str">
        <f>IF(P326="","",P326*'Config  Metas'!$B$10)</f>
        <v/>
      </c>
      <c r="R326" s="4" t="str">
        <f>IF(COUNTA(D326,E326,F326,H326,J326,L326,N326,P326)=0,"",IF(AND(D326&gt;0,E326/D326&lt;'Config  Metas'!$B$8),"🚨 COBERTURA DE LLAMADOS BAJA",IF(G326&lt;'Config  Metas'!$B$2,"🚨 CONTACTO BAJO",IF(I326&lt;'Config  Metas'!$B$3,"🚨 AGENDAMIENTO BAJO",IF(K326&lt;'Config  Metas'!$B$4,"⚠️ SHOW BAJO",IF(M326&lt;'Config  Metas'!$B$5,"🚨 RESERVA BAJA",IF(O326&lt;'Config  Metas'!$B$6,"🚨 CIERRE BAJO",IF(P326&lt;D326*'Config  Metas'!$B$15*'Config  Metas'!$B$9,"🔻 UF BAJO RITMO DINÁMICO","✅ DÍA SOBRE RITMO"))))))))</f>
        <v/>
      </c>
      <c r="S326" s="10"/>
      <c r="T326" s="10"/>
      <c r="U326" s="2"/>
      <c r="V326" s="2"/>
      <c r="W326" s="2"/>
      <c r="X326" s="2"/>
      <c r="Y326" s="2"/>
      <c r="Z326" s="2"/>
    </row>
    <row r="327" ht="15.75" customHeight="1">
      <c r="A327" s="3">
        <v>46492.0</v>
      </c>
      <c r="B327" s="4" t="str">
        <f t="shared" si="1"/>
        <v>Sem 47</v>
      </c>
      <c r="C327" s="4" t="str">
        <f t="shared" si="2"/>
        <v>Jueves</v>
      </c>
      <c r="D327" s="11"/>
      <c r="E327" s="11"/>
      <c r="F327" s="11"/>
      <c r="G327" s="6" t="str">
        <f t="shared" si="3"/>
        <v/>
      </c>
      <c r="H327" s="11"/>
      <c r="I327" s="6" t="str">
        <f t="shared" si="4"/>
        <v/>
      </c>
      <c r="J327" s="11"/>
      <c r="K327" s="6" t="str">
        <f t="shared" si="5"/>
        <v/>
      </c>
      <c r="L327" s="11"/>
      <c r="M327" s="6" t="str">
        <f t="shared" si="6"/>
        <v/>
      </c>
      <c r="N327" s="11"/>
      <c r="O327" s="6" t="str">
        <f t="shared" si="7"/>
        <v/>
      </c>
      <c r="P327" s="12"/>
      <c r="Q327" s="8" t="str">
        <f>IF(P327="","",P327*'Config  Metas'!$B$10)</f>
        <v/>
      </c>
      <c r="R327" s="4" t="str">
        <f>IF(COUNTA(D327,E327,F327,H327,J327,L327,N327,P327)=0,"",IF(AND(D327&gt;0,E327/D327&lt;'Config  Metas'!$B$8),"🚨 COBERTURA DE LLAMADOS BAJA",IF(G327&lt;'Config  Metas'!$B$2,"🚨 CONTACTO BAJO",IF(I327&lt;'Config  Metas'!$B$3,"🚨 AGENDAMIENTO BAJO",IF(K327&lt;'Config  Metas'!$B$4,"⚠️ SHOW BAJO",IF(M327&lt;'Config  Metas'!$B$5,"🚨 RESERVA BAJA",IF(O327&lt;'Config  Metas'!$B$6,"🚨 CIERRE BAJO",IF(P327&lt;D327*'Config  Metas'!$B$15*'Config  Metas'!$B$9,"🔻 UF BAJO RITMO DINÁMICO","✅ DÍA SOBRE RITMO"))))))))</f>
        <v/>
      </c>
      <c r="S327" s="10"/>
      <c r="T327" s="10"/>
      <c r="U327" s="2"/>
      <c r="V327" s="2"/>
      <c r="W327" s="2"/>
      <c r="X327" s="2"/>
      <c r="Y327" s="2"/>
      <c r="Z327" s="2"/>
    </row>
    <row r="328" ht="15.75" customHeight="1">
      <c r="A328" s="3">
        <v>46493.0</v>
      </c>
      <c r="B328" s="4" t="str">
        <f t="shared" si="1"/>
        <v>Sem 47</v>
      </c>
      <c r="C328" s="4" t="str">
        <f t="shared" si="2"/>
        <v>Viernes</v>
      </c>
      <c r="D328" s="11"/>
      <c r="E328" s="11"/>
      <c r="F328" s="11"/>
      <c r="G328" s="6" t="str">
        <f t="shared" si="3"/>
        <v/>
      </c>
      <c r="H328" s="11"/>
      <c r="I328" s="6" t="str">
        <f t="shared" si="4"/>
        <v/>
      </c>
      <c r="J328" s="11"/>
      <c r="K328" s="6" t="str">
        <f t="shared" si="5"/>
        <v/>
      </c>
      <c r="L328" s="11"/>
      <c r="M328" s="6" t="str">
        <f t="shared" si="6"/>
        <v/>
      </c>
      <c r="N328" s="11"/>
      <c r="O328" s="6" t="str">
        <f t="shared" si="7"/>
        <v/>
      </c>
      <c r="P328" s="12"/>
      <c r="Q328" s="8" t="str">
        <f>IF(P328="","",P328*'Config  Metas'!$B$10)</f>
        <v/>
      </c>
      <c r="R328" s="4" t="str">
        <f>IF(COUNTA(D328,E328,F328,H328,J328,L328,N328,P328)=0,"",IF(AND(D328&gt;0,E328/D328&lt;'Config  Metas'!$B$8),"🚨 COBERTURA DE LLAMADOS BAJA",IF(G328&lt;'Config  Metas'!$B$2,"🚨 CONTACTO BAJO",IF(I328&lt;'Config  Metas'!$B$3,"🚨 AGENDAMIENTO BAJO",IF(K328&lt;'Config  Metas'!$B$4,"⚠️ SHOW BAJO",IF(M328&lt;'Config  Metas'!$B$5,"🚨 RESERVA BAJA",IF(O328&lt;'Config  Metas'!$B$6,"🚨 CIERRE BAJO",IF(P328&lt;D328*'Config  Metas'!$B$15*'Config  Metas'!$B$9,"🔻 UF BAJO RITMO DINÁMICO","✅ DÍA SOBRE RITMO"))))))))</f>
        <v/>
      </c>
      <c r="S328" s="10"/>
      <c r="T328" s="10"/>
      <c r="U328" s="2"/>
      <c r="V328" s="2"/>
      <c r="W328" s="2"/>
      <c r="X328" s="2"/>
      <c r="Y328" s="2"/>
      <c r="Z328" s="2"/>
    </row>
    <row r="329" ht="15.75" customHeight="1">
      <c r="A329" s="3">
        <v>46494.0</v>
      </c>
      <c r="B329" s="4" t="str">
        <f t="shared" si="1"/>
        <v>Sem 47</v>
      </c>
      <c r="C329" s="4" t="str">
        <f t="shared" si="2"/>
        <v>Sábado</v>
      </c>
      <c r="D329" s="11"/>
      <c r="E329" s="11"/>
      <c r="F329" s="11"/>
      <c r="G329" s="6" t="str">
        <f t="shared" si="3"/>
        <v/>
      </c>
      <c r="H329" s="11"/>
      <c r="I329" s="6" t="str">
        <f t="shared" si="4"/>
        <v/>
      </c>
      <c r="J329" s="11"/>
      <c r="K329" s="6" t="str">
        <f t="shared" si="5"/>
        <v/>
      </c>
      <c r="L329" s="11"/>
      <c r="M329" s="6" t="str">
        <f t="shared" si="6"/>
        <v/>
      </c>
      <c r="N329" s="11"/>
      <c r="O329" s="6" t="str">
        <f t="shared" si="7"/>
        <v/>
      </c>
      <c r="P329" s="12"/>
      <c r="Q329" s="8" t="str">
        <f>IF(P329="","",P329*'Config  Metas'!$B$10)</f>
        <v/>
      </c>
      <c r="R329" s="4" t="str">
        <f>IF(COUNTA(D329,E329,F329,H329,J329,L329,N329,P329)=0,"",IF(AND(D329&gt;0,E329/D329&lt;'Config  Metas'!$B$8),"🚨 COBERTURA DE LLAMADOS BAJA",IF(G329&lt;'Config  Metas'!$B$2,"🚨 CONTACTO BAJO",IF(I329&lt;'Config  Metas'!$B$3,"🚨 AGENDAMIENTO BAJO",IF(K329&lt;'Config  Metas'!$B$4,"⚠️ SHOW BAJO",IF(M329&lt;'Config  Metas'!$B$5,"🚨 RESERVA BAJA",IF(O329&lt;'Config  Metas'!$B$6,"🚨 CIERRE BAJO",IF(P329&lt;D329*'Config  Metas'!$B$15*'Config  Metas'!$B$9,"🔻 UF BAJO RITMO DINÁMICO","✅ DÍA SOBRE RITMO"))))))))</f>
        <v/>
      </c>
      <c r="S329" s="10"/>
      <c r="T329" s="10"/>
      <c r="U329" s="2"/>
      <c r="V329" s="2"/>
      <c r="W329" s="2"/>
      <c r="X329" s="2"/>
      <c r="Y329" s="2"/>
      <c r="Z329" s="2"/>
    </row>
    <row r="330" ht="15.75" customHeight="1">
      <c r="A330" s="3">
        <v>46495.0</v>
      </c>
      <c r="B330" s="4" t="str">
        <f t="shared" si="1"/>
        <v>Sem 47</v>
      </c>
      <c r="C330" s="4" t="str">
        <f t="shared" si="2"/>
        <v>Domingo</v>
      </c>
      <c r="D330" s="11"/>
      <c r="E330" s="11"/>
      <c r="F330" s="11"/>
      <c r="G330" s="6" t="str">
        <f t="shared" si="3"/>
        <v/>
      </c>
      <c r="H330" s="11"/>
      <c r="I330" s="6" t="str">
        <f t="shared" si="4"/>
        <v/>
      </c>
      <c r="J330" s="11"/>
      <c r="K330" s="6" t="str">
        <f t="shared" si="5"/>
        <v/>
      </c>
      <c r="L330" s="11"/>
      <c r="M330" s="6" t="str">
        <f t="shared" si="6"/>
        <v/>
      </c>
      <c r="N330" s="11"/>
      <c r="O330" s="6" t="str">
        <f t="shared" si="7"/>
        <v/>
      </c>
      <c r="P330" s="12"/>
      <c r="Q330" s="8" t="str">
        <f>IF(P330="","",P330*'Config  Metas'!$B$10)</f>
        <v/>
      </c>
      <c r="R330" s="4" t="str">
        <f>IF(COUNTA(D330,E330,F330,H330,J330,L330,N330,P330)=0,"",IF(AND(D330&gt;0,E330/D330&lt;'Config  Metas'!$B$8),"🚨 COBERTURA DE LLAMADOS BAJA",IF(G330&lt;'Config  Metas'!$B$2,"🚨 CONTACTO BAJO",IF(I330&lt;'Config  Metas'!$B$3,"🚨 AGENDAMIENTO BAJO",IF(K330&lt;'Config  Metas'!$B$4,"⚠️ SHOW BAJO",IF(M330&lt;'Config  Metas'!$B$5,"🚨 RESERVA BAJA",IF(O330&lt;'Config  Metas'!$B$6,"🚨 CIERRE BAJO",IF(P330&lt;D330*'Config  Metas'!$B$15*'Config  Metas'!$B$9,"🔻 UF BAJO RITMO DINÁMICO","✅ DÍA SOBRE RITMO"))))))))</f>
        <v/>
      </c>
      <c r="S330" s="10"/>
      <c r="T330" s="10"/>
      <c r="U330" s="2"/>
      <c r="V330" s="2"/>
      <c r="W330" s="2"/>
      <c r="X330" s="2"/>
      <c r="Y330" s="2"/>
      <c r="Z330" s="2"/>
    </row>
    <row r="331" ht="15.75" customHeight="1">
      <c r="A331" s="3">
        <v>46496.0</v>
      </c>
      <c r="B331" s="4" t="str">
        <f t="shared" si="1"/>
        <v>Sem 48</v>
      </c>
      <c r="C331" s="4" t="str">
        <f t="shared" si="2"/>
        <v>Lunes</v>
      </c>
      <c r="D331" s="11"/>
      <c r="E331" s="11"/>
      <c r="F331" s="11"/>
      <c r="G331" s="6" t="str">
        <f t="shared" si="3"/>
        <v/>
      </c>
      <c r="H331" s="11"/>
      <c r="I331" s="6" t="str">
        <f t="shared" si="4"/>
        <v/>
      </c>
      <c r="J331" s="11"/>
      <c r="K331" s="6" t="str">
        <f t="shared" si="5"/>
        <v/>
      </c>
      <c r="L331" s="11"/>
      <c r="M331" s="6" t="str">
        <f t="shared" si="6"/>
        <v/>
      </c>
      <c r="N331" s="11"/>
      <c r="O331" s="6" t="str">
        <f t="shared" si="7"/>
        <v/>
      </c>
      <c r="P331" s="12"/>
      <c r="Q331" s="8" t="str">
        <f>IF(P331="","",P331*'Config  Metas'!$B$10)</f>
        <v/>
      </c>
      <c r="R331" s="4" t="str">
        <f>IF(COUNTA(D331,E331,F331,H331,J331,L331,N331,P331)=0,"",IF(AND(D331&gt;0,E331/D331&lt;'Config  Metas'!$B$8),"🚨 COBERTURA DE LLAMADOS BAJA",IF(G331&lt;'Config  Metas'!$B$2,"🚨 CONTACTO BAJO",IF(I331&lt;'Config  Metas'!$B$3,"🚨 AGENDAMIENTO BAJO",IF(K331&lt;'Config  Metas'!$B$4,"⚠️ SHOW BAJO",IF(M331&lt;'Config  Metas'!$B$5,"🚨 RESERVA BAJA",IF(O331&lt;'Config  Metas'!$B$6,"🚨 CIERRE BAJO",IF(P331&lt;D331*'Config  Metas'!$B$15*'Config  Metas'!$B$9,"🔻 UF BAJO RITMO DINÁMICO","✅ DÍA SOBRE RITMO"))))))))</f>
        <v/>
      </c>
      <c r="S331" s="10"/>
      <c r="T331" s="10"/>
      <c r="U331" s="2"/>
      <c r="V331" s="2"/>
      <c r="W331" s="2"/>
      <c r="X331" s="2"/>
      <c r="Y331" s="2"/>
      <c r="Z331" s="2"/>
    </row>
    <row r="332" ht="15.75" customHeight="1">
      <c r="A332" s="3">
        <v>46497.0</v>
      </c>
      <c r="B332" s="4" t="str">
        <f t="shared" si="1"/>
        <v>Sem 48</v>
      </c>
      <c r="C332" s="4" t="str">
        <f t="shared" si="2"/>
        <v>Martes</v>
      </c>
      <c r="D332" s="11"/>
      <c r="E332" s="11"/>
      <c r="F332" s="11"/>
      <c r="G332" s="6" t="str">
        <f t="shared" si="3"/>
        <v/>
      </c>
      <c r="H332" s="11"/>
      <c r="I332" s="6" t="str">
        <f t="shared" si="4"/>
        <v/>
      </c>
      <c r="J332" s="11"/>
      <c r="K332" s="6" t="str">
        <f t="shared" si="5"/>
        <v/>
      </c>
      <c r="L332" s="11"/>
      <c r="M332" s="6" t="str">
        <f t="shared" si="6"/>
        <v/>
      </c>
      <c r="N332" s="11"/>
      <c r="O332" s="6" t="str">
        <f t="shared" si="7"/>
        <v/>
      </c>
      <c r="P332" s="12"/>
      <c r="Q332" s="8" t="str">
        <f>IF(P332="","",P332*'Config  Metas'!$B$10)</f>
        <v/>
      </c>
      <c r="R332" s="4" t="str">
        <f>IF(COUNTA(D332,E332,F332,H332,J332,L332,N332,P332)=0,"",IF(AND(D332&gt;0,E332/D332&lt;'Config  Metas'!$B$8),"🚨 COBERTURA DE LLAMADOS BAJA",IF(G332&lt;'Config  Metas'!$B$2,"🚨 CONTACTO BAJO",IF(I332&lt;'Config  Metas'!$B$3,"🚨 AGENDAMIENTO BAJO",IF(K332&lt;'Config  Metas'!$B$4,"⚠️ SHOW BAJO",IF(M332&lt;'Config  Metas'!$B$5,"🚨 RESERVA BAJA",IF(O332&lt;'Config  Metas'!$B$6,"🚨 CIERRE BAJO",IF(P332&lt;D332*'Config  Metas'!$B$15*'Config  Metas'!$B$9,"🔻 UF BAJO RITMO DINÁMICO","✅ DÍA SOBRE RITMO"))))))))</f>
        <v/>
      </c>
      <c r="S332" s="10"/>
      <c r="T332" s="10"/>
      <c r="U332" s="2"/>
      <c r="V332" s="2"/>
      <c r="W332" s="2"/>
      <c r="X332" s="2"/>
      <c r="Y332" s="2"/>
      <c r="Z332" s="2"/>
    </row>
    <row r="333" ht="15.75" customHeight="1">
      <c r="A333" s="3">
        <v>46498.0</v>
      </c>
      <c r="B333" s="4" t="str">
        <f t="shared" si="1"/>
        <v>Sem 48</v>
      </c>
      <c r="C333" s="4" t="str">
        <f t="shared" si="2"/>
        <v>Miércoles</v>
      </c>
      <c r="D333" s="11"/>
      <c r="E333" s="11"/>
      <c r="F333" s="11"/>
      <c r="G333" s="6" t="str">
        <f t="shared" si="3"/>
        <v/>
      </c>
      <c r="H333" s="11"/>
      <c r="I333" s="6" t="str">
        <f t="shared" si="4"/>
        <v/>
      </c>
      <c r="J333" s="11"/>
      <c r="K333" s="6" t="str">
        <f t="shared" si="5"/>
        <v/>
      </c>
      <c r="L333" s="11"/>
      <c r="M333" s="6" t="str">
        <f t="shared" si="6"/>
        <v/>
      </c>
      <c r="N333" s="11"/>
      <c r="O333" s="6" t="str">
        <f t="shared" si="7"/>
        <v/>
      </c>
      <c r="P333" s="12"/>
      <c r="Q333" s="8" t="str">
        <f>IF(P333="","",P333*'Config  Metas'!$B$10)</f>
        <v/>
      </c>
      <c r="R333" s="4" t="str">
        <f>IF(COUNTA(D333,E333,F333,H333,J333,L333,N333,P333)=0,"",IF(AND(D333&gt;0,E333/D333&lt;'Config  Metas'!$B$8),"🚨 COBERTURA DE LLAMADOS BAJA",IF(G333&lt;'Config  Metas'!$B$2,"🚨 CONTACTO BAJO",IF(I333&lt;'Config  Metas'!$B$3,"🚨 AGENDAMIENTO BAJO",IF(K333&lt;'Config  Metas'!$B$4,"⚠️ SHOW BAJO",IF(M333&lt;'Config  Metas'!$B$5,"🚨 RESERVA BAJA",IF(O333&lt;'Config  Metas'!$B$6,"🚨 CIERRE BAJO",IF(P333&lt;D333*'Config  Metas'!$B$15*'Config  Metas'!$B$9,"🔻 UF BAJO RITMO DINÁMICO","✅ DÍA SOBRE RITMO"))))))))</f>
        <v/>
      </c>
      <c r="S333" s="10"/>
      <c r="T333" s="10"/>
      <c r="U333" s="2"/>
      <c r="V333" s="2"/>
      <c r="W333" s="2"/>
      <c r="X333" s="2"/>
      <c r="Y333" s="2"/>
      <c r="Z333" s="2"/>
    </row>
    <row r="334" ht="15.75" customHeight="1">
      <c r="A334" s="3">
        <v>46499.0</v>
      </c>
      <c r="B334" s="4" t="str">
        <f t="shared" si="1"/>
        <v>Sem 48</v>
      </c>
      <c r="C334" s="4" t="str">
        <f t="shared" si="2"/>
        <v>Jueves</v>
      </c>
      <c r="D334" s="11"/>
      <c r="E334" s="11"/>
      <c r="F334" s="11"/>
      <c r="G334" s="6" t="str">
        <f t="shared" si="3"/>
        <v/>
      </c>
      <c r="H334" s="11"/>
      <c r="I334" s="6" t="str">
        <f t="shared" si="4"/>
        <v/>
      </c>
      <c r="J334" s="11"/>
      <c r="K334" s="6" t="str">
        <f t="shared" si="5"/>
        <v/>
      </c>
      <c r="L334" s="11"/>
      <c r="M334" s="6" t="str">
        <f t="shared" si="6"/>
        <v/>
      </c>
      <c r="N334" s="11"/>
      <c r="O334" s="6" t="str">
        <f t="shared" si="7"/>
        <v/>
      </c>
      <c r="P334" s="12"/>
      <c r="Q334" s="8" t="str">
        <f>IF(P334="","",P334*'Config  Metas'!$B$10)</f>
        <v/>
      </c>
      <c r="R334" s="4" t="str">
        <f>IF(COUNTA(D334,E334,F334,H334,J334,L334,N334,P334)=0,"",IF(AND(D334&gt;0,E334/D334&lt;'Config  Metas'!$B$8),"🚨 COBERTURA DE LLAMADOS BAJA",IF(G334&lt;'Config  Metas'!$B$2,"🚨 CONTACTO BAJO",IF(I334&lt;'Config  Metas'!$B$3,"🚨 AGENDAMIENTO BAJO",IF(K334&lt;'Config  Metas'!$B$4,"⚠️ SHOW BAJO",IF(M334&lt;'Config  Metas'!$B$5,"🚨 RESERVA BAJA",IF(O334&lt;'Config  Metas'!$B$6,"🚨 CIERRE BAJO",IF(P334&lt;D334*'Config  Metas'!$B$15*'Config  Metas'!$B$9,"🔻 UF BAJO RITMO DINÁMICO","✅ DÍA SOBRE RITMO"))))))))</f>
        <v/>
      </c>
      <c r="S334" s="10"/>
      <c r="T334" s="10"/>
      <c r="U334" s="2"/>
      <c r="V334" s="2"/>
      <c r="W334" s="2"/>
      <c r="X334" s="2"/>
      <c r="Y334" s="2"/>
      <c r="Z334" s="2"/>
    </row>
    <row r="335" ht="15.75" customHeight="1">
      <c r="A335" s="3">
        <v>46500.0</v>
      </c>
      <c r="B335" s="4" t="str">
        <f t="shared" si="1"/>
        <v>Sem 48</v>
      </c>
      <c r="C335" s="4" t="str">
        <f t="shared" si="2"/>
        <v>Viernes</v>
      </c>
      <c r="D335" s="11"/>
      <c r="E335" s="11"/>
      <c r="F335" s="11"/>
      <c r="G335" s="6" t="str">
        <f t="shared" si="3"/>
        <v/>
      </c>
      <c r="H335" s="11"/>
      <c r="I335" s="6" t="str">
        <f t="shared" si="4"/>
        <v/>
      </c>
      <c r="J335" s="11"/>
      <c r="K335" s="6" t="str">
        <f t="shared" si="5"/>
        <v/>
      </c>
      <c r="L335" s="11"/>
      <c r="M335" s="6" t="str">
        <f t="shared" si="6"/>
        <v/>
      </c>
      <c r="N335" s="11"/>
      <c r="O335" s="6" t="str">
        <f t="shared" si="7"/>
        <v/>
      </c>
      <c r="P335" s="12"/>
      <c r="Q335" s="8" t="str">
        <f>IF(P335="","",P335*'Config  Metas'!$B$10)</f>
        <v/>
      </c>
      <c r="R335" s="4" t="str">
        <f>IF(COUNTA(D335,E335,F335,H335,J335,L335,N335,P335)=0,"",IF(AND(D335&gt;0,E335/D335&lt;'Config  Metas'!$B$8),"🚨 COBERTURA DE LLAMADOS BAJA",IF(G335&lt;'Config  Metas'!$B$2,"🚨 CONTACTO BAJO",IF(I335&lt;'Config  Metas'!$B$3,"🚨 AGENDAMIENTO BAJO",IF(K335&lt;'Config  Metas'!$B$4,"⚠️ SHOW BAJO",IF(M335&lt;'Config  Metas'!$B$5,"🚨 RESERVA BAJA",IF(O335&lt;'Config  Metas'!$B$6,"🚨 CIERRE BAJO",IF(P335&lt;D335*'Config  Metas'!$B$15*'Config  Metas'!$B$9,"🔻 UF BAJO RITMO DINÁMICO","✅ DÍA SOBRE RITMO"))))))))</f>
        <v/>
      </c>
      <c r="S335" s="10"/>
      <c r="T335" s="10"/>
      <c r="U335" s="2"/>
      <c r="V335" s="2"/>
      <c r="W335" s="2"/>
      <c r="X335" s="2"/>
      <c r="Y335" s="2"/>
      <c r="Z335" s="2"/>
    </row>
    <row r="336" ht="15.75" customHeight="1">
      <c r="A336" s="3">
        <v>46501.0</v>
      </c>
      <c r="B336" s="4" t="str">
        <f t="shared" si="1"/>
        <v>Sem 48</v>
      </c>
      <c r="C336" s="4" t="str">
        <f t="shared" si="2"/>
        <v>Sábado</v>
      </c>
      <c r="D336" s="11"/>
      <c r="E336" s="11"/>
      <c r="F336" s="11"/>
      <c r="G336" s="6" t="str">
        <f t="shared" si="3"/>
        <v/>
      </c>
      <c r="H336" s="11"/>
      <c r="I336" s="6" t="str">
        <f t="shared" si="4"/>
        <v/>
      </c>
      <c r="J336" s="11"/>
      <c r="K336" s="6" t="str">
        <f t="shared" si="5"/>
        <v/>
      </c>
      <c r="L336" s="11"/>
      <c r="M336" s="6" t="str">
        <f t="shared" si="6"/>
        <v/>
      </c>
      <c r="N336" s="11"/>
      <c r="O336" s="6" t="str">
        <f t="shared" si="7"/>
        <v/>
      </c>
      <c r="P336" s="12"/>
      <c r="Q336" s="8" t="str">
        <f>IF(P336="","",P336*'Config  Metas'!$B$10)</f>
        <v/>
      </c>
      <c r="R336" s="4" t="str">
        <f>IF(COUNTA(D336,E336,F336,H336,J336,L336,N336,P336)=0,"",IF(AND(D336&gt;0,E336/D336&lt;'Config  Metas'!$B$8),"🚨 COBERTURA DE LLAMADOS BAJA",IF(G336&lt;'Config  Metas'!$B$2,"🚨 CONTACTO BAJO",IF(I336&lt;'Config  Metas'!$B$3,"🚨 AGENDAMIENTO BAJO",IF(K336&lt;'Config  Metas'!$B$4,"⚠️ SHOW BAJO",IF(M336&lt;'Config  Metas'!$B$5,"🚨 RESERVA BAJA",IF(O336&lt;'Config  Metas'!$B$6,"🚨 CIERRE BAJO",IF(P336&lt;D336*'Config  Metas'!$B$15*'Config  Metas'!$B$9,"🔻 UF BAJO RITMO DINÁMICO","✅ DÍA SOBRE RITMO"))))))))</f>
        <v/>
      </c>
      <c r="S336" s="10"/>
      <c r="T336" s="10"/>
      <c r="U336" s="2"/>
      <c r="V336" s="2"/>
      <c r="W336" s="2"/>
      <c r="X336" s="2"/>
      <c r="Y336" s="2"/>
      <c r="Z336" s="2"/>
    </row>
    <row r="337" ht="15.75" customHeight="1">
      <c r="A337" s="3">
        <v>46502.0</v>
      </c>
      <c r="B337" s="4" t="str">
        <f t="shared" si="1"/>
        <v>Sem 48</v>
      </c>
      <c r="C337" s="4" t="str">
        <f t="shared" si="2"/>
        <v>Domingo</v>
      </c>
      <c r="D337" s="11"/>
      <c r="E337" s="11"/>
      <c r="F337" s="11"/>
      <c r="G337" s="6" t="str">
        <f t="shared" si="3"/>
        <v/>
      </c>
      <c r="H337" s="11"/>
      <c r="I337" s="6" t="str">
        <f t="shared" si="4"/>
        <v/>
      </c>
      <c r="J337" s="11"/>
      <c r="K337" s="6" t="str">
        <f t="shared" si="5"/>
        <v/>
      </c>
      <c r="L337" s="11"/>
      <c r="M337" s="6" t="str">
        <f t="shared" si="6"/>
        <v/>
      </c>
      <c r="N337" s="11"/>
      <c r="O337" s="6" t="str">
        <f t="shared" si="7"/>
        <v/>
      </c>
      <c r="P337" s="12"/>
      <c r="Q337" s="8" t="str">
        <f>IF(P337="","",P337*'Config  Metas'!$B$10)</f>
        <v/>
      </c>
      <c r="R337" s="4" t="str">
        <f>IF(COUNTA(D337,E337,F337,H337,J337,L337,N337,P337)=0,"",IF(AND(D337&gt;0,E337/D337&lt;'Config  Metas'!$B$8),"🚨 COBERTURA DE LLAMADOS BAJA",IF(G337&lt;'Config  Metas'!$B$2,"🚨 CONTACTO BAJO",IF(I337&lt;'Config  Metas'!$B$3,"🚨 AGENDAMIENTO BAJO",IF(K337&lt;'Config  Metas'!$B$4,"⚠️ SHOW BAJO",IF(M337&lt;'Config  Metas'!$B$5,"🚨 RESERVA BAJA",IF(O337&lt;'Config  Metas'!$B$6,"🚨 CIERRE BAJO",IF(P337&lt;D337*'Config  Metas'!$B$15*'Config  Metas'!$B$9,"🔻 UF BAJO RITMO DINÁMICO","✅ DÍA SOBRE RITMO"))))))))</f>
        <v/>
      </c>
      <c r="S337" s="10"/>
      <c r="T337" s="10"/>
      <c r="U337" s="2"/>
      <c r="V337" s="2"/>
      <c r="W337" s="2"/>
      <c r="X337" s="2"/>
      <c r="Y337" s="2"/>
      <c r="Z337" s="2"/>
    </row>
    <row r="338" ht="15.75" customHeight="1">
      <c r="A338" s="3">
        <v>46503.0</v>
      </c>
      <c r="B338" s="4" t="str">
        <f t="shared" si="1"/>
        <v>Sem 49</v>
      </c>
      <c r="C338" s="4" t="str">
        <f t="shared" si="2"/>
        <v>Lunes</v>
      </c>
      <c r="D338" s="11"/>
      <c r="E338" s="11"/>
      <c r="F338" s="11"/>
      <c r="G338" s="6" t="str">
        <f t="shared" si="3"/>
        <v/>
      </c>
      <c r="H338" s="11"/>
      <c r="I338" s="6" t="str">
        <f t="shared" si="4"/>
        <v/>
      </c>
      <c r="J338" s="11"/>
      <c r="K338" s="6" t="str">
        <f t="shared" si="5"/>
        <v/>
      </c>
      <c r="L338" s="11"/>
      <c r="M338" s="6" t="str">
        <f t="shared" si="6"/>
        <v/>
      </c>
      <c r="N338" s="11"/>
      <c r="O338" s="6" t="str">
        <f t="shared" si="7"/>
        <v/>
      </c>
      <c r="P338" s="12"/>
      <c r="Q338" s="8" t="str">
        <f>IF(P338="","",P338*'Config  Metas'!$B$10)</f>
        <v/>
      </c>
      <c r="R338" s="4" t="str">
        <f>IF(COUNTA(D338,E338,F338,H338,J338,L338,N338,P338)=0,"",IF(AND(D338&gt;0,E338/D338&lt;'Config  Metas'!$B$8),"🚨 COBERTURA DE LLAMADOS BAJA",IF(G338&lt;'Config  Metas'!$B$2,"🚨 CONTACTO BAJO",IF(I338&lt;'Config  Metas'!$B$3,"🚨 AGENDAMIENTO BAJO",IF(K338&lt;'Config  Metas'!$B$4,"⚠️ SHOW BAJO",IF(M338&lt;'Config  Metas'!$B$5,"🚨 RESERVA BAJA",IF(O338&lt;'Config  Metas'!$B$6,"🚨 CIERRE BAJO",IF(P338&lt;D338*'Config  Metas'!$B$15*'Config  Metas'!$B$9,"🔻 UF BAJO RITMO DINÁMICO","✅ DÍA SOBRE RITMO"))))))))</f>
        <v/>
      </c>
      <c r="S338" s="10"/>
      <c r="T338" s="10"/>
      <c r="U338" s="2"/>
      <c r="V338" s="2"/>
      <c r="W338" s="2"/>
      <c r="X338" s="2"/>
      <c r="Y338" s="2"/>
      <c r="Z338" s="2"/>
    </row>
    <row r="339" ht="15.75" customHeight="1">
      <c r="A339" s="3">
        <v>46504.0</v>
      </c>
      <c r="B339" s="4" t="str">
        <f t="shared" si="1"/>
        <v>Sem 49</v>
      </c>
      <c r="C339" s="4" t="str">
        <f t="shared" si="2"/>
        <v>Martes</v>
      </c>
      <c r="D339" s="11"/>
      <c r="E339" s="11"/>
      <c r="F339" s="11"/>
      <c r="G339" s="6" t="str">
        <f t="shared" si="3"/>
        <v/>
      </c>
      <c r="H339" s="11"/>
      <c r="I339" s="6" t="str">
        <f t="shared" si="4"/>
        <v/>
      </c>
      <c r="J339" s="11"/>
      <c r="K339" s="6" t="str">
        <f t="shared" si="5"/>
        <v/>
      </c>
      <c r="L339" s="11"/>
      <c r="M339" s="6" t="str">
        <f t="shared" si="6"/>
        <v/>
      </c>
      <c r="N339" s="11"/>
      <c r="O339" s="6" t="str">
        <f t="shared" si="7"/>
        <v/>
      </c>
      <c r="P339" s="12"/>
      <c r="Q339" s="8" t="str">
        <f>IF(P339="","",P339*'Config  Metas'!$B$10)</f>
        <v/>
      </c>
      <c r="R339" s="4" t="str">
        <f>IF(COUNTA(D339,E339,F339,H339,J339,L339,N339,P339)=0,"",IF(AND(D339&gt;0,E339/D339&lt;'Config  Metas'!$B$8),"🚨 COBERTURA DE LLAMADOS BAJA",IF(G339&lt;'Config  Metas'!$B$2,"🚨 CONTACTO BAJO",IF(I339&lt;'Config  Metas'!$B$3,"🚨 AGENDAMIENTO BAJO",IF(K339&lt;'Config  Metas'!$B$4,"⚠️ SHOW BAJO",IF(M339&lt;'Config  Metas'!$B$5,"🚨 RESERVA BAJA",IF(O339&lt;'Config  Metas'!$B$6,"🚨 CIERRE BAJO",IF(P339&lt;D339*'Config  Metas'!$B$15*'Config  Metas'!$B$9,"🔻 UF BAJO RITMO DINÁMICO","✅ DÍA SOBRE RITMO"))))))))</f>
        <v/>
      </c>
      <c r="S339" s="10"/>
      <c r="T339" s="10"/>
      <c r="U339" s="2"/>
      <c r="V339" s="2"/>
      <c r="W339" s="2"/>
      <c r="X339" s="2"/>
      <c r="Y339" s="2"/>
      <c r="Z339" s="2"/>
    </row>
    <row r="340" ht="15.75" customHeight="1">
      <c r="A340" s="3">
        <v>46505.0</v>
      </c>
      <c r="B340" s="4" t="str">
        <f t="shared" si="1"/>
        <v>Sem 49</v>
      </c>
      <c r="C340" s="4" t="str">
        <f t="shared" si="2"/>
        <v>Miércoles</v>
      </c>
      <c r="D340" s="11"/>
      <c r="E340" s="11"/>
      <c r="F340" s="11"/>
      <c r="G340" s="6" t="str">
        <f t="shared" si="3"/>
        <v/>
      </c>
      <c r="H340" s="11"/>
      <c r="I340" s="6" t="str">
        <f t="shared" si="4"/>
        <v/>
      </c>
      <c r="J340" s="11"/>
      <c r="K340" s="6" t="str">
        <f t="shared" si="5"/>
        <v/>
      </c>
      <c r="L340" s="11"/>
      <c r="M340" s="6" t="str">
        <f t="shared" si="6"/>
        <v/>
      </c>
      <c r="N340" s="11"/>
      <c r="O340" s="6" t="str">
        <f t="shared" si="7"/>
        <v/>
      </c>
      <c r="P340" s="12"/>
      <c r="Q340" s="8" t="str">
        <f>IF(P340="","",P340*'Config  Metas'!$B$10)</f>
        <v/>
      </c>
      <c r="R340" s="4" t="str">
        <f>IF(COUNTA(D340,E340,F340,H340,J340,L340,N340,P340)=0,"",IF(AND(D340&gt;0,E340/D340&lt;'Config  Metas'!$B$8),"🚨 COBERTURA DE LLAMADOS BAJA",IF(G340&lt;'Config  Metas'!$B$2,"🚨 CONTACTO BAJO",IF(I340&lt;'Config  Metas'!$B$3,"🚨 AGENDAMIENTO BAJO",IF(K340&lt;'Config  Metas'!$B$4,"⚠️ SHOW BAJO",IF(M340&lt;'Config  Metas'!$B$5,"🚨 RESERVA BAJA",IF(O340&lt;'Config  Metas'!$B$6,"🚨 CIERRE BAJO",IF(P340&lt;D340*'Config  Metas'!$B$15*'Config  Metas'!$B$9,"🔻 UF BAJO RITMO DINÁMICO","✅ DÍA SOBRE RITMO"))))))))</f>
        <v/>
      </c>
      <c r="S340" s="10"/>
      <c r="T340" s="10"/>
      <c r="U340" s="2"/>
      <c r="V340" s="2"/>
      <c r="W340" s="2"/>
      <c r="X340" s="2"/>
      <c r="Y340" s="2"/>
      <c r="Z340" s="2"/>
    </row>
    <row r="341" ht="15.75" customHeight="1">
      <c r="A341" s="3">
        <v>46506.0</v>
      </c>
      <c r="B341" s="4" t="str">
        <f t="shared" si="1"/>
        <v>Sem 49</v>
      </c>
      <c r="C341" s="4" t="str">
        <f t="shared" si="2"/>
        <v>Jueves</v>
      </c>
      <c r="D341" s="11"/>
      <c r="E341" s="11"/>
      <c r="F341" s="11"/>
      <c r="G341" s="6" t="str">
        <f t="shared" si="3"/>
        <v/>
      </c>
      <c r="H341" s="11"/>
      <c r="I341" s="6" t="str">
        <f t="shared" si="4"/>
        <v/>
      </c>
      <c r="J341" s="11"/>
      <c r="K341" s="6" t="str">
        <f t="shared" si="5"/>
        <v/>
      </c>
      <c r="L341" s="11"/>
      <c r="M341" s="6" t="str">
        <f t="shared" si="6"/>
        <v/>
      </c>
      <c r="N341" s="11"/>
      <c r="O341" s="6" t="str">
        <f t="shared" si="7"/>
        <v/>
      </c>
      <c r="P341" s="12"/>
      <c r="Q341" s="8" t="str">
        <f>IF(P341="","",P341*'Config  Metas'!$B$10)</f>
        <v/>
      </c>
      <c r="R341" s="4" t="str">
        <f>IF(COUNTA(D341,E341,F341,H341,J341,L341,N341,P341)=0,"",IF(AND(D341&gt;0,E341/D341&lt;'Config  Metas'!$B$8),"🚨 COBERTURA DE LLAMADOS BAJA",IF(G341&lt;'Config  Metas'!$B$2,"🚨 CONTACTO BAJO",IF(I341&lt;'Config  Metas'!$B$3,"🚨 AGENDAMIENTO BAJO",IF(K341&lt;'Config  Metas'!$B$4,"⚠️ SHOW BAJO",IF(M341&lt;'Config  Metas'!$B$5,"🚨 RESERVA BAJA",IF(O341&lt;'Config  Metas'!$B$6,"🚨 CIERRE BAJO",IF(P341&lt;D341*'Config  Metas'!$B$15*'Config  Metas'!$B$9,"🔻 UF BAJO RITMO DINÁMICO","✅ DÍA SOBRE RITMO"))))))))</f>
        <v/>
      </c>
      <c r="S341" s="10"/>
      <c r="T341" s="10"/>
      <c r="U341" s="2"/>
      <c r="V341" s="2"/>
      <c r="W341" s="2"/>
      <c r="X341" s="2"/>
      <c r="Y341" s="2"/>
      <c r="Z341" s="2"/>
    </row>
    <row r="342" ht="15.75" customHeight="1">
      <c r="A342" s="3">
        <v>46507.0</v>
      </c>
      <c r="B342" s="4" t="str">
        <f t="shared" si="1"/>
        <v>Sem 49</v>
      </c>
      <c r="C342" s="4" t="str">
        <f t="shared" si="2"/>
        <v>Viernes</v>
      </c>
      <c r="D342" s="11"/>
      <c r="E342" s="11"/>
      <c r="F342" s="11"/>
      <c r="G342" s="6" t="str">
        <f t="shared" si="3"/>
        <v/>
      </c>
      <c r="H342" s="11"/>
      <c r="I342" s="6" t="str">
        <f t="shared" si="4"/>
        <v/>
      </c>
      <c r="J342" s="11"/>
      <c r="K342" s="6" t="str">
        <f t="shared" si="5"/>
        <v/>
      </c>
      <c r="L342" s="11"/>
      <c r="M342" s="6" t="str">
        <f t="shared" si="6"/>
        <v/>
      </c>
      <c r="N342" s="11"/>
      <c r="O342" s="6" t="str">
        <f t="shared" si="7"/>
        <v/>
      </c>
      <c r="P342" s="12"/>
      <c r="Q342" s="8" t="str">
        <f>IF(P342="","",P342*'Config  Metas'!$B$10)</f>
        <v/>
      </c>
      <c r="R342" s="4" t="str">
        <f>IF(COUNTA(D342,E342,F342,H342,J342,L342,N342,P342)=0,"",IF(AND(D342&gt;0,E342/D342&lt;'Config  Metas'!$B$8),"🚨 COBERTURA DE LLAMADOS BAJA",IF(G342&lt;'Config  Metas'!$B$2,"🚨 CONTACTO BAJO",IF(I342&lt;'Config  Metas'!$B$3,"🚨 AGENDAMIENTO BAJO",IF(K342&lt;'Config  Metas'!$B$4,"⚠️ SHOW BAJO",IF(M342&lt;'Config  Metas'!$B$5,"🚨 RESERVA BAJA",IF(O342&lt;'Config  Metas'!$B$6,"🚨 CIERRE BAJO",IF(P342&lt;D342*'Config  Metas'!$B$15*'Config  Metas'!$B$9,"🔻 UF BAJO RITMO DINÁMICO","✅ DÍA SOBRE RITMO"))))))))</f>
        <v/>
      </c>
      <c r="S342" s="10"/>
      <c r="T342" s="10"/>
      <c r="U342" s="2"/>
      <c r="V342" s="2"/>
      <c r="W342" s="2"/>
      <c r="X342" s="2"/>
      <c r="Y342" s="2"/>
      <c r="Z342" s="2"/>
    </row>
    <row r="343" ht="15.75" customHeight="1">
      <c r="A343" s="3">
        <v>46508.0</v>
      </c>
      <c r="B343" s="4" t="str">
        <f t="shared" si="1"/>
        <v>Sem 49</v>
      </c>
      <c r="C343" s="4" t="str">
        <f t="shared" si="2"/>
        <v>Sábado</v>
      </c>
      <c r="D343" s="11"/>
      <c r="E343" s="11"/>
      <c r="F343" s="11"/>
      <c r="G343" s="6" t="str">
        <f t="shared" si="3"/>
        <v/>
      </c>
      <c r="H343" s="11"/>
      <c r="I343" s="6" t="str">
        <f t="shared" si="4"/>
        <v/>
      </c>
      <c r="J343" s="11"/>
      <c r="K343" s="6" t="str">
        <f t="shared" si="5"/>
        <v/>
      </c>
      <c r="L343" s="11"/>
      <c r="M343" s="6" t="str">
        <f t="shared" si="6"/>
        <v/>
      </c>
      <c r="N343" s="11"/>
      <c r="O343" s="6" t="str">
        <f t="shared" si="7"/>
        <v/>
      </c>
      <c r="P343" s="12"/>
      <c r="Q343" s="8" t="str">
        <f>IF(P343="","",P343*'Config  Metas'!$B$10)</f>
        <v/>
      </c>
      <c r="R343" s="4" t="str">
        <f>IF(COUNTA(D343,E343,F343,H343,J343,L343,N343,P343)=0,"",IF(AND(D343&gt;0,E343/D343&lt;'Config  Metas'!$B$8),"🚨 COBERTURA DE LLAMADOS BAJA",IF(G343&lt;'Config  Metas'!$B$2,"🚨 CONTACTO BAJO",IF(I343&lt;'Config  Metas'!$B$3,"🚨 AGENDAMIENTO BAJO",IF(K343&lt;'Config  Metas'!$B$4,"⚠️ SHOW BAJO",IF(M343&lt;'Config  Metas'!$B$5,"🚨 RESERVA BAJA",IF(O343&lt;'Config  Metas'!$B$6,"🚨 CIERRE BAJO",IF(P343&lt;D343*'Config  Metas'!$B$15*'Config  Metas'!$B$9,"🔻 UF BAJO RITMO DINÁMICO","✅ DÍA SOBRE RITMO"))))))))</f>
        <v/>
      </c>
      <c r="S343" s="10"/>
      <c r="T343" s="10"/>
      <c r="U343" s="2"/>
      <c r="V343" s="2"/>
      <c r="W343" s="2"/>
      <c r="X343" s="2"/>
      <c r="Y343" s="2"/>
      <c r="Z343" s="2"/>
    </row>
    <row r="344" ht="15.75" customHeight="1">
      <c r="A344" s="3">
        <v>46509.0</v>
      </c>
      <c r="B344" s="4" t="str">
        <f t="shared" si="1"/>
        <v>Sem 49</v>
      </c>
      <c r="C344" s="4" t="str">
        <f t="shared" si="2"/>
        <v>Domingo</v>
      </c>
      <c r="D344" s="11"/>
      <c r="E344" s="11"/>
      <c r="F344" s="11"/>
      <c r="G344" s="6" t="str">
        <f t="shared" si="3"/>
        <v/>
      </c>
      <c r="H344" s="11"/>
      <c r="I344" s="6" t="str">
        <f t="shared" si="4"/>
        <v/>
      </c>
      <c r="J344" s="11"/>
      <c r="K344" s="6" t="str">
        <f t="shared" si="5"/>
        <v/>
      </c>
      <c r="L344" s="11"/>
      <c r="M344" s="6" t="str">
        <f t="shared" si="6"/>
        <v/>
      </c>
      <c r="N344" s="11"/>
      <c r="O344" s="6" t="str">
        <f t="shared" si="7"/>
        <v/>
      </c>
      <c r="P344" s="12"/>
      <c r="Q344" s="8" t="str">
        <f>IF(P344="","",P344*'Config  Metas'!$B$10)</f>
        <v/>
      </c>
      <c r="R344" s="4" t="str">
        <f>IF(COUNTA(D344,E344,F344,H344,J344,L344,N344,P344)=0,"",IF(AND(D344&gt;0,E344/D344&lt;'Config  Metas'!$B$8),"🚨 COBERTURA DE LLAMADOS BAJA",IF(G344&lt;'Config  Metas'!$B$2,"🚨 CONTACTO BAJO",IF(I344&lt;'Config  Metas'!$B$3,"🚨 AGENDAMIENTO BAJO",IF(K344&lt;'Config  Metas'!$B$4,"⚠️ SHOW BAJO",IF(M344&lt;'Config  Metas'!$B$5,"🚨 RESERVA BAJA",IF(O344&lt;'Config  Metas'!$B$6,"🚨 CIERRE BAJO",IF(P344&lt;D344*'Config  Metas'!$B$15*'Config  Metas'!$B$9,"🔻 UF BAJO RITMO DINÁMICO","✅ DÍA SOBRE RITMO"))))))))</f>
        <v/>
      </c>
      <c r="S344" s="10"/>
      <c r="T344" s="10"/>
      <c r="U344" s="2"/>
      <c r="V344" s="2"/>
      <c r="W344" s="2"/>
      <c r="X344" s="2"/>
      <c r="Y344" s="2"/>
      <c r="Z344" s="2"/>
    </row>
    <row r="345" ht="15.75" customHeight="1">
      <c r="A345" s="3">
        <v>46510.0</v>
      </c>
      <c r="B345" s="4" t="str">
        <f t="shared" si="1"/>
        <v>Sem 50</v>
      </c>
      <c r="C345" s="4" t="str">
        <f t="shared" si="2"/>
        <v>Lunes</v>
      </c>
      <c r="D345" s="11"/>
      <c r="E345" s="11"/>
      <c r="F345" s="11"/>
      <c r="G345" s="6" t="str">
        <f t="shared" si="3"/>
        <v/>
      </c>
      <c r="H345" s="11"/>
      <c r="I345" s="6" t="str">
        <f t="shared" si="4"/>
        <v/>
      </c>
      <c r="J345" s="11"/>
      <c r="K345" s="6" t="str">
        <f t="shared" si="5"/>
        <v/>
      </c>
      <c r="L345" s="11"/>
      <c r="M345" s="6" t="str">
        <f t="shared" si="6"/>
        <v/>
      </c>
      <c r="N345" s="11"/>
      <c r="O345" s="6" t="str">
        <f t="shared" si="7"/>
        <v/>
      </c>
      <c r="P345" s="12"/>
      <c r="Q345" s="8" t="str">
        <f>IF(P345="","",P345*'Config  Metas'!$B$10)</f>
        <v/>
      </c>
      <c r="R345" s="4" t="str">
        <f>IF(COUNTA(D345,E345,F345,H345,J345,L345,N345,P345)=0,"",IF(AND(D345&gt;0,E345/D345&lt;'Config  Metas'!$B$8),"🚨 COBERTURA DE LLAMADOS BAJA",IF(G345&lt;'Config  Metas'!$B$2,"🚨 CONTACTO BAJO",IF(I345&lt;'Config  Metas'!$B$3,"🚨 AGENDAMIENTO BAJO",IF(K345&lt;'Config  Metas'!$B$4,"⚠️ SHOW BAJO",IF(M345&lt;'Config  Metas'!$B$5,"🚨 RESERVA BAJA",IF(O345&lt;'Config  Metas'!$B$6,"🚨 CIERRE BAJO",IF(P345&lt;D345*'Config  Metas'!$B$15*'Config  Metas'!$B$9,"🔻 UF BAJO RITMO DINÁMICO","✅ DÍA SOBRE RITMO"))))))))</f>
        <v/>
      </c>
      <c r="S345" s="10"/>
      <c r="T345" s="10"/>
      <c r="U345" s="2"/>
      <c r="V345" s="2"/>
      <c r="W345" s="2"/>
      <c r="X345" s="2"/>
      <c r="Y345" s="2"/>
      <c r="Z345" s="2"/>
    </row>
    <row r="346" ht="15.75" customHeight="1">
      <c r="A346" s="3">
        <v>46511.0</v>
      </c>
      <c r="B346" s="4" t="str">
        <f t="shared" si="1"/>
        <v>Sem 50</v>
      </c>
      <c r="C346" s="4" t="str">
        <f t="shared" si="2"/>
        <v>Martes</v>
      </c>
      <c r="D346" s="11"/>
      <c r="E346" s="11"/>
      <c r="F346" s="11"/>
      <c r="G346" s="6" t="str">
        <f t="shared" si="3"/>
        <v/>
      </c>
      <c r="H346" s="11"/>
      <c r="I346" s="6" t="str">
        <f t="shared" si="4"/>
        <v/>
      </c>
      <c r="J346" s="11"/>
      <c r="K346" s="6" t="str">
        <f t="shared" si="5"/>
        <v/>
      </c>
      <c r="L346" s="11"/>
      <c r="M346" s="6" t="str">
        <f t="shared" si="6"/>
        <v/>
      </c>
      <c r="N346" s="11"/>
      <c r="O346" s="6" t="str">
        <f t="shared" si="7"/>
        <v/>
      </c>
      <c r="P346" s="12"/>
      <c r="Q346" s="8" t="str">
        <f>IF(P346="","",P346*'Config  Metas'!$B$10)</f>
        <v/>
      </c>
      <c r="R346" s="4" t="str">
        <f>IF(COUNTA(D346,E346,F346,H346,J346,L346,N346,P346)=0,"",IF(AND(D346&gt;0,E346/D346&lt;'Config  Metas'!$B$8),"🚨 COBERTURA DE LLAMADOS BAJA",IF(G346&lt;'Config  Metas'!$B$2,"🚨 CONTACTO BAJO",IF(I346&lt;'Config  Metas'!$B$3,"🚨 AGENDAMIENTO BAJO",IF(K346&lt;'Config  Metas'!$B$4,"⚠️ SHOW BAJO",IF(M346&lt;'Config  Metas'!$B$5,"🚨 RESERVA BAJA",IF(O346&lt;'Config  Metas'!$B$6,"🚨 CIERRE BAJO",IF(P346&lt;D346*'Config  Metas'!$B$15*'Config  Metas'!$B$9,"🔻 UF BAJO RITMO DINÁMICO","✅ DÍA SOBRE RITMO"))))))))</f>
        <v/>
      </c>
      <c r="S346" s="10"/>
      <c r="T346" s="10"/>
      <c r="U346" s="2"/>
      <c r="V346" s="2"/>
      <c r="W346" s="2"/>
      <c r="X346" s="2"/>
      <c r="Y346" s="2"/>
      <c r="Z346" s="2"/>
    </row>
    <row r="347" ht="15.75" customHeight="1">
      <c r="A347" s="3">
        <v>46512.0</v>
      </c>
      <c r="B347" s="4" t="str">
        <f t="shared" si="1"/>
        <v>Sem 50</v>
      </c>
      <c r="C347" s="4" t="str">
        <f t="shared" si="2"/>
        <v>Miércoles</v>
      </c>
      <c r="D347" s="11"/>
      <c r="E347" s="11"/>
      <c r="F347" s="11"/>
      <c r="G347" s="6" t="str">
        <f t="shared" si="3"/>
        <v/>
      </c>
      <c r="H347" s="11"/>
      <c r="I347" s="6" t="str">
        <f t="shared" si="4"/>
        <v/>
      </c>
      <c r="J347" s="11"/>
      <c r="K347" s="6" t="str">
        <f t="shared" si="5"/>
        <v/>
      </c>
      <c r="L347" s="11"/>
      <c r="M347" s="6" t="str">
        <f t="shared" si="6"/>
        <v/>
      </c>
      <c r="N347" s="11"/>
      <c r="O347" s="6" t="str">
        <f t="shared" si="7"/>
        <v/>
      </c>
      <c r="P347" s="12"/>
      <c r="Q347" s="8" t="str">
        <f>IF(P347="","",P347*'Config  Metas'!$B$10)</f>
        <v/>
      </c>
      <c r="R347" s="4" t="str">
        <f>IF(COUNTA(D347,E347,F347,H347,J347,L347,N347,P347)=0,"",IF(AND(D347&gt;0,E347/D347&lt;'Config  Metas'!$B$8),"🚨 COBERTURA DE LLAMADOS BAJA",IF(G347&lt;'Config  Metas'!$B$2,"🚨 CONTACTO BAJO",IF(I347&lt;'Config  Metas'!$B$3,"🚨 AGENDAMIENTO BAJO",IF(K347&lt;'Config  Metas'!$B$4,"⚠️ SHOW BAJO",IF(M347&lt;'Config  Metas'!$B$5,"🚨 RESERVA BAJA",IF(O347&lt;'Config  Metas'!$B$6,"🚨 CIERRE BAJO",IF(P347&lt;D347*'Config  Metas'!$B$15*'Config  Metas'!$B$9,"🔻 UF BAJO RITMO DINÁMICO","✅ DÍA SOBRE RITMO"))))))))</f>
        <v/>
      </c>
      <c r="S347" s="10"/>
      <c r="T347" s="10"/>
      <c r="U347" s="2"/>
      <c r="V347" s="2"/>
      <c r="W347" s="2"/>
      <c r="X347" s="2"/>
      <c r="Y347" s="2"/>
      <c r="Z347" s="2"/>
    </row>
    <row r="348" ht="15.75" customHeight="1">
      <c r="A348" s="3">
        <v>46513.0</v>
      </c>
      <c r="B348" s="4" t="str">
        <f t="shared" si="1"/>
        <v>Sem 50</v>
      </c>
      <c r="C348" s="4" t="str">
        <f t="shared" si="2"/>
        <v>Jueves</v>
      </c>
      <c r="D348" s="11"/>
      <c r="E348" s="11"/>
      <c r="F348" s="11"/>
      <c r="G348" s="6" t="str">
        <f t="shared" si="3"/>
        <v/>
      </c>
      <c r="H348" s="11"/>
      <c r="I348" s="6" t="str">
        <f t="shared" si="4"/>
        <v/>
      </c>
      <c r="J348" s="11"/>
      <c r="K348" s="6" t="str">
        <f t="shared" si="5"/>
        <v/>
      </c>
      <c r="L348" s="11"/>
      <c r="M348" s="6" t="str">
        <f t="shared" si="6"/>
        <v/>
      </c>
      <c r="N348" s="11"/>
      <c r="O348" s="6" t="str">
        <f t="shared" si="7"/>
        <v/>
      </c>
      <c r="P348" s="12"/>
      <c r="Q348" s="8" t="str">
        <f>IF(P348="","",P348*'Config  Metas'!$B$10)</f>
        <v/>
      </c>
      <c r="R348" s="4" t="str">
        <f>IF(COUNTA(D348,E348,F348,H348,J348,L348,N348,P348)=0,"",IF(AND(D348&gt;0,E348/D348&lt;'Config  Metas'!$B$8),"🚨 COBERTURA DE LLAMADOS BAJA",IF(G348&lt;'Config  Metas'!$B$2,"🚨 CONTACTO BAJO",IF(I348&lt;'Config  Metas'!$B$3,"🚨 AGENDAMIENTO BAJO",IF(K348&lt;'Config  Metas'!$B$4,"⚠️ SHOW BAJO",IF(M348&lt;'Config  Metas'!$B$5,"🚨 RESERVA BAJA",IF(O348&lt;'Config  Metas'!$B$6,"🚨 CIERRE BAJO",IF(P348&lt;D348*'Config  Metas'!$B$15*'Config  Metas'!$B$9,"🔻 UF BAJO RITMO DINÁMICO","✅ DÍA SOBRE RITMO"))))))))</f>
        <v/>
      </c>
      <c r="S348" s="10"/>
      <c r="T348" s="10"/>
      <c r="U348" s="2"/>
      <c r="V348" s="2"/>
      <c r="W348" s="2"/>
      <c r="X348" s="2"/>
      <c r="Y348" s="2"/>
      <c r="Z348" s="2"/>
    </row>
    <row r="349" ht="15.75" customHeight="1">
      <c r="A349" s="3">
        <v>46514.0</v>
      </c>
      <c r="B349" s="4" t="str">
        <f t="shared" si="1"/>
        <v>Sem 50</v>
      </c>
      <c r="C349" s="4" t="str">
        <f t="shared" si="2"/>
        <v>Viernes</v>
      </c>
      <c r="D349" s="11"/>
      <c r="E349" s="11"/>
      <c r="F349" s="11"/>
      <c r="G349" s="6" t="str">
        <f t="shared" si="3"/>
        <v/>
      </c>
      <c r="H349" s="11"/>
      <c r="I349" s="6" t="str">
        <f t="shared" si="4"/>
        <v/>
      </c>
      <c r="J349" s="11"/>
      <c r="K349" s="6" t="str">
        <f t="shared" si="5"/>
        <v/>
      </c>
      <c r="L349" s="11"/>
      <c r="M349" s="6" t="str">
        <f t="shared" si="6"/>
        <v/>
      </c>
      <c r="N349" s="11"/>
      <c r="O349" s="6" t="str">
        <f t="shared" si="7"/>
        <v/>
      </c>
      <c r="P349" s="12"/>
      <c r="Q349" s="8" t="str">
        <f>IF(P349="","",P349*'Config  Metas'!$B$10)</f>
        <v/>
      </c>
      <c r="R349" s="4" t="str">
        <f>IF(COUNTA(D349,E349,F349,H349,J349,L349,N349,P349)=0,"",IF(AND(D349&gt;0,E349/D349&lt;'Config  Metas'!$B$8),"🚨 COBERTURA DE LLAMADOS BAJA",IF(G349&lt;'Config  Metas'!$B$2,"🚨 CONTACTO BAJO",IF(I349&lt;'Config  Metas'!$B$3,"🚨 AGENDAMIENTO BAJO",IF(K349&lt;'Config  Metas'!$B$4,"⚠️ SHOW BAJO",IF(M349&lt;'Config  Metas'!$B$5,"🚨 RESERVA BAJA",IF(O349&lt;'Config  Metas'!$B$6,"🚨 CIERRE BAJO",IF(P349&lt;D349*'Config  Metas'!$B$15*'Config  Metas'!$B$9,"🔻 UF BAJO RITMO DINÁMICO","✅ DÍA SOBRE RITMO"))))))))</f>
        <v/>
      </c>
      <c r="S349" s="10"/>
      <c r="T349" s="10"/>
      <c r="U349" s="2"/>
      <c r="V349" s="2"/>
      <c r="W349" s="2"/>
      <c r="X349" s="2"/>
      <c r="Y349" s="2"/>
      <c r="Z349" s="2"/>
    </row>
    <row r="350" ht="15.75" customHeight="1">
      <c r="A350" s="3">
        <v>46515.0</v>
      </c>
      <c r="B350" s="4" t="str">
        <f t="shared" si="1"/>
        <v>Sem 50</v>
      </c>
      <c r="C350" s="4" t="str">
        <f t="shared" si="2"/>
        <v>Sábado</v>
      </c>
      <c r="D350" s="11"/>
      <c r="E350" s="11"/>
      <c r="F350" s="11"/>
      <c r="G350" s="6" t="str">
        <f t="shared" si="3"/>
        <v/>
      </c>
      <c r="H350" s="11"/>
      <c r="I350" s="6" t="str">
        <f t="shared" si="4"/>
        <v/>
      </c>
      <c r="J350" s="11"/>
      <c r="K350" s="6" t="str">
        <f t="shared" si="5"/>
        <v/>
      </c>
      <c r="L350" s="11"/>
      <c r="M350" s="6" t="str">
        <f t="shared" si="6"/>
        <v/>
      </c>
      <c r="N350" s="11"/>
      <c r="O350" s="6" t="str">
        <f t="shared" si="7"/>
        <v/>
      </c>
      <c r="P350" s="12"/>
      <c r="Q350" s="8" t="str">
        <f>IF(P350="","",P350*'Config  Metas'!$B$10)</f>
        <v/>
      </c>
      <c r="R350" s="4" t="str">
        <f>IF(COUNTA(D350,E350,F350,H350,J350,L350,N350,P350)=0,"",IF(AND(D350&gt;0,E350/D350&lt;'Config  Metas'!$B$8),"🚨 COBERTURA DE LLAMADOS BAJA",IF(G350&lt;'Config  Metas'!$B$2,"🚨 CONTACTO BAJO",IF(I350&lt;'Config  Metas'!$B$3,"🚨 AGENDAMIENTO BAJO",IF(K350&lt;'Config  Metas'!$B$4,"⚠️ SHOW BAJO",IF(M350&lt;'Config  Metas'!$B$5,"🚨 RESERVA BAJA",IF(O350&lt;'Config  Metas'!$B$6,"🚨 CIERRE BAJO",IF(P350&lt;D350*'Config  Metas'!$B$15*'Config  Metas'!$B$9,"🔻 UF BAJO RITMO DINÁMICO","✅ DÍA SOBRE RITMO"))))))))</f>
        <v/>
      </c>
      <c r="S350" s="10"/>
      <c r="T350" s="10"/>
      <c r="U350" s="2"/>
      <c r="V350" s="2"/>
      <c r="W350" s="2"/>
      <c r="X350" s="2"/>
      <c r="Y350" s="2"/>
      <c r="Z350" s="2"/>
    </row>
    <row r="351" ht="15.75" customHeight="1">
      <c r="A351" s="3">
        <v>46516.0</v>
      </c>
      <c r="B351" s="4" t="str">
        <f t="shared" si="1"/>
        <v>Sem 50</v>
      </c>
      <c r="C351" s="4" t="str">
        <f t="shared" si="2"/>
        <v>Domingo</v>
      </c>
      <c r="D351" s="11"/>
      <c r="E351" s="11"/>
      <c r="F351" s="11"/>
      <c r="G351" s="6" t="str">
        <f t="shared" si="3"/>
        <v/>
      </c>
      <c r="H351" s="11"/>
      <c r="I351" s="6" t="str">
        <f t="shared" si="4"/>
        <v/>
      </c>
      <c r="J351" s="11"/>
      <c r="K351" s="6" t="str">
        <f t="shared" si="5"/>
        <v/>
      </c>
      <c r="L351" s="11"/>
      <c r="M351" s="6" t="str">
        <f t="shared" si="6"/>
        <v/>
      </c>
      <c r="N351" s="11"/>
      <c r="O351" s="6" t="str">
        <f t="shared" si="7"/>
        <v/>
      </c>
      <c r="P351" s="12"/>
      <c r="Q351" s="8" t="str">
        <f>IF(P351="","",P351*'Config  Metas'!$B$10)</f>
        <v/>
      </c>
      <c r="R351" s="4" t="str">
        <f>IF(COUNTA(D351,E351,F351,H351,J351,L351,N351,P351)=0,"",IF(AND(D351&gt;0,E351/D351&lt;'Config  Metas'!$B$8),"🚨 COBERTURA DE LLAMADOS BAJA",IF(G351&lt;'Config  Metas'!$B$2,"🚨 CONTACTO BAJO",IF(I351&lt;'Config  Metas'!$B$3,"🚨 AGENDAMIENTO BAJO",IF(K351&lt;'Config  Metas'!$B$4,"⚠️ SHOW BAJO",IF(M351&lt;'Config  Metas'!$B$5,"🚨 RESERVA BAJA",IF(O351&lt;'Config  Metas'!$B$6,"🚨 CIERRE BAJO",IF(P351&lt;D351*'Config  Metas'!$B$15*'Config  Metas'!$B$9,"🔻 UF BAJO RITMO DINÁMICO","✅ DÍA SOBRE RITMO"))))))))</f>
        <v/>
      </c>
      <c r="S351" s="10"/>
      <c r="T351" s="10"/>
      <c r="U351" s="2"/>
      <c r="V351" s="2"/>
      <c r="W351" s="2"/>
      <c r="X351" s="2"/>
      <c r="Y351" s="2"/>
      <c r="Z351" s="2"/>
    </row>
    <row r="352" ht="15.75" customHeight="1">
      <c r="A352" s="3">
        <v>46517.0</v>
      </c>
      <c r="B352" s="4" t="str">
        <f t="shared" si="1"/>
        <v>Sem 51</v>
      </c>
      <c r="C352" s="4" t="str">
        <f t="shared" si="2"/>
        <v>Lunes</v>
      </c>
      <c r="D352" s="11"/>
      <c r="E352" s="11"/>
      <c r="F352" s="11"/>
      <c r="G352" s="6" t="str">
        <f t="shared" si="3"/>
        <v/>
      </c>
      <c r="H352" s="11"/>
      <c r="I352" s="6" t="str">
        <f t="shared" si="4"/>
        <v/>
      </c>
      <c r="J352" s="11"/>
      <c r="K352" s="6" t="str">
        <f t="shared" si="5"/>
        <v/>
      </c>
      <c r="L352" s="11"/>
      <c r="M352" s="6" t="str">
        <f t="shared" si="6"/>
        <v/>
      </c>
      <c r="N352" s="11"/>
      <c r="O352" s="6" t="str">
        <f t="shared" si="7"/>
        <v/>
      </c>
      <c r="P352" s="12"/>
      <c r="Q352" s="8" t="str">
        <f>IF(P352="","",P352*'Config  Metas'!$B$10)</f>
        <v/>
      </c>
      <c r="R352" s="4" t="str">
        <f>IF(COUNTA(D352,E352,F352,H352,J352,L352,N352,P352)=0,"",IF(AND(D352&gt;0,E352/D352&lt;'Config  Metas'!$B$8),"🚨 COBERTURA DE LLAMADOS BAJA",IF(G352&lt;'Config  Metas'!$B$2,"🚨 CONTACTO BAJO",IF(I352&lt;'Config  Metas'!$B$3,"🚨 AGENDAMIENTO BAJO",IF(K352&lt;'Config  Metas'!$B$4,"⚠️ SHOW BAJO",IF(M352&lt;'Config  Metas'!$B$5,"🚨 RESERVA BAJA",IF(O352&lt;'Config  Metas'!$B$6,"🚨 CIERRE BAJO",IF(P352&lt;D352*'Config  Metas'!$B$15*'Config  Metas'!$B$9,"🔻 UF BAJO RITMO DINÁMICO","✅ DÍA SOBRE RITMO"))))))))</f>
        <v/>
      </c>
      <c r="S352" s="10"/>
      <c r="T352" s="10"/>
      <c r="U352" s="2"/>
      <c r="V352" s="2"/>
      <c r="W352" s="2"/>
      <c r="X352" s="2"/>
      <c r="Y352" s="2"/>
      <c r="Z352" s="2"/>
    </row>
    <row r="353" ht="15.75" customHeight="1">
      <c r="A353" s="3">
        <v>46518.0</v>
      </c>
      <c r="B353" s="4" t="str">
        <f t="shared" si="1"/>
        <v>Sem 51</v>
      </c>
      <c r="C353" s="4" t="str">
        <f t="shared" si="2"/>
        <v>Martes</v>
      </c>
      <c r="D353" s="11"/>
      <c r="E353" s="11"/>
      <c r="F353" s="11"/>
      <c r="G353" s="6" t="str">
        <f t="shared" si="3"/>
        <v/>
      </c>
      <c r="H353" s="11"/>
      <c r="I353" s="6" t="str">
        <f t="shared" si="4"/>
        <v/>
      </c>
      <c r="J353" s="11"/>
      <c r="K353" s="6" t="str">
        <f t="shared" si="5"/>
        <v/>
      </c>
      <c r="L353" s="11"/>
      <c r="M353" s="6" t="str">
        <f t="shared" si="6"/>
        <v/>
      </c>
      <c r="N353" s="11"/>
      <c r="O353" s="6" t="str">
        <f t="shared" si="7"/>
        <v/>
      </c>
      <c r="P353" s="12"/>
      <c r="Q353" s="8" t="str">
        <f>IF(P353="","",P353*'Config  Metas'!$B$10)</f>
        <v/>
      </c>
      <c r="R353" s="4" t="str">
        <f>IF(COUNTA(D353,E353,F353,H353,J353,L353,N353,P353)=0,"",IF(AND(D353&gt;0,E353/D353&lt;'Config  Metas'!$B$8),"🚨 COBERTURA DE LLAMADOS BAJA",IF(G353&lt;'Config  Metas'!$B$2,"🚨 CONTACTO BAJO",IF(I353&lt;'Config  Metas'!$B$3,"🚨 AGENDAMIENTO BAJO",IF(K353&lt;'Config  Metas'!$B$4,"⚠️ SHOW BAJO",IF(M353&lt;'Config  Metas'!$B$5,"🚨 RESERVA BAJA",IF(O353&lt;'Config  Metas'!$B$6,"🚨 CIERRE BAJO",IF(P353&lt;D353*'Config  Metas'!$B$15*'Config  Metas'!$B$9,"🔻 UF BAJO RITMO DINÁMICO","✅ DÍA SOBRE RITMO"))))))))</f>
        <v/>
      </c>
      <c r="S353" s="10"/>
      <c r="T353" s="10"/>
      <c r="U353" s="2"/>
      <c r="V353" s="2"/>
      <c r="W353" s="2"/>
      <c r="X353" s="2"/>
      <c r="Y353" s="2"/>
      <c r="Z353" s="2"/>
    </row>
    <row r="354" ht="15.75" customHeight="1">
      <c r="A354" s="3">
        <v>46519.0</v>
      </c>
      <c r="B354" s="4" t="str">
        <f t="shared" si="1"/>
        <v>Sem 51</v>
      </c>
      <c r="C354" s="4" t="str">
        <f t="shared" si="2"/>
        <v>Miércoles</v>
      </c>
      <c r="D354" s="11"/>
      <c r="E354" s="11"/>
      <c r="F354" s="11"/>
      <c r="G354" s="6" t="str">
        <f t="shared" si="3"/>
        <v/>
      </c>
      <c r="H354" s="11"/>
      <c r="I354" s="6" t="str">
        <f t="shared" si="4"/>
        <v/>
      </c>
      <c r="J354" s="11"/>
      <c r="K354" s="6" t="str">
        <f t="shared" si="5"/>
        <v/>
      </c>
      <c r="L354" s="11"/>
      <c r="M354" s="6" t="str">
        <f t="shared" si="6"/>
        <v/>
      </c>
      <c r="N354" s="11"/>
      <c r="O354" s="6" t="str">
        <f t="shared" si="7"/>
        <v/>
      </c>
      <c r="P354" s="12"/>
      <c r="Q354" s="8" t="str">
        <f>IF(P354="","",P354*'Config  Metas'!$B$10)</f>
        <v/>
      </c>
      <c r="R354" s="4" t="str">
        <f>IF(COUNTA(D354,E354,F354,H354,J354,L354,N354,P354)=0,"",IF(AND(D354&gt;0,E354/D354&lt;'Config  Metas'!$B$8),"🚨 COBERTURA DE LLAMADOS BAJA",IF(G354&lt;'Config  Metas'!$B$2,"🚨 CONTACTO BAJO",IF(I354&lt;'Config  Metas'!$B$3,"🚨 AGENDAMIENTO BAJO",IF(K354&lt;'Config  Metas'!$B$4,"⚠️ SHOW BAJO",IF(M354&lt;'Config  Metas'!$B$5,"🚨 RESERVA BAJA",IF(O354&lt;'Config  Metas'!$B$6,"🚨 CIERRE BAJO",IF(P354&lt;D354*'Config  Metas'!$B$15*'Config  Metas'!$B$9,"🔻 UF BAJO RITMO DINÁMICO","✅ DÍA SOBRE RITMO"))))))))</f>
        <v/>
      </c>
      <c r="S354" s="10"/>
      <c r="T354" s="10"/>
      <c r="U354" s="2"/>
      <c r="V354" s="2"/>
      <c r="W354" s="2"/>
      <c r="X354" s="2"/>
      <c r="Y354" s="2"/>
      <c r="Z354" s="2"/>
    </row>
    <row r="355" ht="15.75" customHeight="1">
      <c r="A355" s="3">
        <v>46520.0</v>
      </c>
      <c r="B355" s="4" t="str">
        <f t="shared" si="1"/>
        <v>Sem 51</v>
      </c>
      <c r="C355" s="4" t="str">
        <f t="shared" si="2"/>
        <v>Jueves</v>
      </c>
      <c r="D355" s="11"/>
      <c r="E355" s="11"/>
      <c r="F355" s="11"/>
      <c r="G355" s="6" t="str">
        <f t="shared" si="3"/>
        <v/>
      </c>
      <c r="H355" s="11"/>
      <c r="I355" s="6" t="str">
        <f t="shared" si="4"/>
        <v/>
      </c>
      <c r="J355" s="11"/>
      <c r="K355" s="6" t="str">
        <f t="shared" si="5"/>
        <v/>
      </c>
      <c r="L355" s="11"/>
      <c r="M355" s="6" t="str">
        <f t="shared" si="6"/>
        <v/>
      </c>
      <c r="N355" s="11"/>
      <c r="O355" s="6" t="str">
        <f t="shared" si="7"/>
        <v/>
      </c>
      <c r="P355" s="12"/>
      <c r="Q355" s="8" t="str">
        <f>IF(P355="","",P355*'Config  Metas'!$B$10)</f>
        <v/>
      </c>
      <c r="R355" s="4" t="str">
        <f>IF(COUNTA(D355,E355,F355,H355,J355,L355,N355,P355)=0,"",IF(AND(D355&gt;0,E355/D355&lt;'Config  Metas'!$B$8),"🚨 COBERTURA DE LLAMADOS BAJA",IF(G355&lt;'Config  Metas'!$B$2,"🚨 CONTACTO BAJO",IF(I355&lt;'Config  Metas'!$B$3,"🚨 AGENDAMIENTO BAJO",IF(K355&lt;'Config  Metas'!$B$4,"⚠️ SHOW BAJO",IF(M355&lt;'Config  Metas'!$B$5,"🚨 RESERVA BAJA",IF(O355&lt;'Config  Metas'!$B$6,"🚨 CIERRE BAJO",IF(P355&lt;D355*'Config  Metas'!$B$15*'Config  Metas'!$B$9,"🔻 UF BAJO RITMO DINÁMICO","✅ DÍA SOBRE RITMO"))))))))</f>
        <v/>
      </c>
      <c r="S355" s="10"/>
      <c r="T355" s="10"/>
      <c r="U355" s="2"/>
      <c r="V355" s="2"/>
      <c r="W355" s="2"/>
      <c r="X355" s="2"/>
      <c r="Y355" s="2"/>
      <c r="Z355" s="2"/>
    </row>
    <row r="356" ht="15.75" customHeight="1">
      <c r="A356" s="3">
        <v>46521.0</v>
      </c>
      <c r="B356" s="4" t="str">
        <f t="shared" si="1"/>
        <v>Sem 51</v>
      </c>
      <c r="C356" s="4" t="str">
        <f t="shared" si="2"/>
        <v>Viernes</v>
      </c>
      <c r="D356" s="11"/>
      <c r="E356" s="11"/>
      <c r="F356" s="11"/>
      <c r="G356" s="6" t="str">
        <f t="shared" si="3"/>
        <v/>
      </c>
      <c r="H356" s="11"/>
      <c r="I356" s="6" t="str">
        <f t="shared" si="4"/>
        <v/>
      </c>
      <c r="J356" s="11"/>
      <c r="K356" s="6" t="str">
        <f t="shared" si="5"/>
        <v/>
      </c>
      <c r="L356" s="11"/>
      <c r="M356" s="6" t="str">
        <f t="shared" si="6"/>
        <v/>
      </c>
      <c r="N356" s="11"/>
      <c r="O356" s="6" t="str">
        <f t="shared" si="7"/>
        <v/>
      </c>
      <c r="P356" s="12"/>
      <c r="Q356" s="8" t="str">
        <f>IF(P356="","",P356*'Config  Metas'!$B$10)</f>
        <v/>
      </c>
      <c r="R356" s="4" t="str">
        <f>IF(COUNTA(D356,E356,F356,H356,J356,L356,N356,P356)=0,"",IF(AND(D356&gt;0,E356/D356&lt;'Config  Metas'!$B$8),"🚨 COBERTURA DE LLAMADOS BAJA",IF(G356&lt;'Config  Metas'!$B$2,"🚨 CONTACTO BAJO",IF(I356&lt;'Config  Metas'!$B$3,"🚨 AGENDAMIENTO BAJO",IF(K356&lt;'Config  Metas'!$B$4,"⚠️ SHOW BAJO",IF(M356&lt;'Config  Metas'!$B$5,"🚨 RESERVA BAJA",IF(O356&lt;'Config  Metas'!$B$6,"🚨 CIERRE BAJO",IF(P356&lt;D356*'Config  Metas'!$B$15*'Config  Metas'!$B$9,"🔻 UF BAJO RITMO DINÁMICO","✅ DÍA SOBRE RITMO"))))))))</f>
        <v/>
      </c>
      <c r="S356" s="10"/>
      <c r="T356" s="10"/>
      <c r="U356" s="2"/>
      <c r="V356" s="2"/>
      <c r="W356" s="2"/>
      <c r="X356" s="2"/>
      <c r="Y356" s="2"/>
      <c r="Z356" s="2"/>
    </row>
    <row r="357" ht="15.75" customHeight="1">
      <c r="A357" s="3">
        <v>46522.0</v>
      </c>
      <c r="B357" s="4" t="str">
        <f t="shared" si="1"/>
        <v>Sem 51</v>
      </c>
      <c r="C357" s="4" t="str">
        <f t="shared" si="2"/>
        <v>Sábado</v>
      </c>
      <c r="D357" s="11"/>
      <c r="E357" s="11"/>
      <c r="F357" s="11"/>
      <c r="G357" s="6" t="str">
        <f t="shared" si="3"/>
        <v/>
      </c>
      <c r="H357" s="11"/>
      <c r="I357" s="6" t="str">
        <f t="shared" si="4"/>
        <v/>
      </c>
      <c r="J357" s="11"/>
      <c r="K357" s="6" t="str">
        <f t="shared" si="5"/>
        <v/>
      </c>
      <c r="L357" s="11"/>
      <c r="M357" s="6" t="str">
        <f t="shared" si="6"/>
        <v/>
      </c>
      <c r="N357" s="11"/>
      <c r="O357" s="6" t="str">
        <f t="shared" si="7"/>
        <v/>
      </c>
      <c r="P357" s="12"/>
      <c r="Q357" s="8" t="str">
        <f>IF(P357="","",P357*'Config  Metas'!$B$10)</f>
        <v/>
      </c>
      <c r="R357" s="4" t="str">
        <f>IF(COUNTA(D357,E357,F357,H357,J357,L357,N357,P357)=0,"",IF(AND(D357&gt;0,E357/D357&lt;'Config  Metas'!$B$8),"🚨 COBERTURA DE LLAMADOS BAJA",IF(G357&lt;'Config  Metas'!$B$2,"🚨 CONTACTO BAJO",IF(I357&lt;'Config  Metas'!$B$3,"🚨 AGENDAMIENTO BAJO",IF(K357&lt;'Config  Metas'!$B$4,"⚠️ SHOW BAJO",IF(M357&lt;'Config  Metas'!$B$5,"🚨 RESERVA BAJA",IF(O357&lt;'Config  Metas'!$B$6,"🚨 CIERRE BAJO",IF(P357&lt;D357*'Config  Metas'!$B$15*'Config  Metas'!$B$9,"🔻 UF BAJO RITMO DINÁMICO","✅ DÍA SOBRE RITMO"))))))))</f>
        <v/>
      </c>
      <c r="S357" s="10"/>
      <c r="T357" s="10"/>
      <c r="U357" s="2"/>
      <c r="V357" s="2"/>
      <c r="W357" s="2"/>
      <c r="X357" s="2"/>
      <c r="Y357" s="2"/>
      <c r="Z357" s="2"/>
    </row>
    <row r="358" ht="15.75" customHeight="1">
      <c r="A358" s="3">
        <v>46523.0</v>
      </c>
      <c r="B358" s="4" t="str">
        <f t="shared" si="1"/>
        <v>Sem 51</v>
      </c>
      <c r="C358" s="4" t="str">
        <f t="shared" si="2"/>
        <v>Domingo</v>
      </c>
      <c r="D358" s="11"/>
      <c r="E358" s="11"/>
      <c r="F358" s="11"/>
      <c r="G358" s="6" t="str">
        <f t="shared" si="3"/>
        <v/>
      </c>
      <c r="H358" s="11"/>
      <c r="I358" s="6" t="str">
        <f t="shared" si="4"/>
        <v/>
      </c>
      <c r="J358" s="11"/>
      <c r="K358" s="6" t="str">
        <f t="shared" si="5"/>
        <v/>
      </c>
      <c r="L358" s="11"/>
      <c r="M358" s="6" t="str">
        <f t="shared" si="6"/>
        <v/>
      </c>
      <c r="N358" s="11"/>
      <c r="O358" s="6" t="str">
        <f t="shared" si="7"/>
        <v/>
      </c>
      <c r="P358" s="12"/>
      <c r="Q358" s="8" t="str">
        <f>IF(P358="","",P358*'Config  Metas'!$B$10)</f>
        <v/>
      </c>
      <c r="R358" s="4" t="str">
        <f>IF(COUNTA(D358,E358,F358,H358,J358,L358,N358,P358)=0,"",IF(AND(D358&gt;0,E358/D358&lt;'Config  Metas'!$B$8),"🚨 COBERTURA DE LLAMADOS BAJA",IF(G358&lt;'Config  Metas'!$B$2,"🚨 CONTACTO BAJO",IF(I358&lt;'Config  Metas'!$B$3,"🚨 AGENDAMIENTO BAJO",IF(K358&lt;'Config  Metas'!$B$4,"⚠️ SHOW BAJO",IF(M358&lt;'Config  Metas'!$B$5,"🚨 RESERVA BAJA",IF(O358&lt;'Config  Metas'!$B$6,"🚨 CIERRE BAJO",IF(P358&lt;D358*'Config  Metas'!$B$15*'Config  Metas'!$B$9,"🔻 UF BAJO RITMO DINÁMICO","✅ DÍA SOBRE RITMO"))))))))</f>
        <v/>
      </c>
      <c r="S358" s="10"/>
      <c r="T358" s="10"/>
      <c r="U358" s="2"/>
      <c r="V358" s="2"/>
      <c r="W358" s="2"/>
      <c r="X358" s="2"/>
      <c r="Y358" s="2"/>
      <c r="Z358" s="2"/>
    </row>
    <row r="359" ht="15.75" customHeight="1">
      <c r="A359" s="3">
        <v>46524.0</v>
      </c>
      <c r="B359" s="4" t="str">
        <f t="shared" si="1"/>
        <v>Sem 52</v>
      </c>
      <c r="C359" s="4" t="str">
        <f t="shared" si="2"/>
        <v>Lunes</v>
      </c>
      <c r="D359" s="11"/>
      <c r="E359" s="11"/>
      <c r="F359" s="11"/>
      <c r="G359" s="6" t="str">
        <f t="shared" si="3"/>
        <v/>
      </c>
      <c r="H359" s="11"/>
      <c r="I359" s="6" t="str">
        <f t="shared" si="4"/>
        <v/>
      </c>
      <c r="J359" s="11"/>
      <c r="K359" s="6" t="str">
        <f t="shared" si="5"/>
        <v/>
      </c>
      <c r="L359" s="11"/>
      <c r="M359" s="6" t="str">
        <f t="shared" si="6"/>
        <v/>
      </c>
      <c r="N359" s="11"/>
      <c r="O359" s="6" t="str">
        <f t="shared" si="7"/>
        <v/>
      </c>
      <c r="P359" s="12"/>
      <c r="Q359" s="8" t="str">
        <f>IF(P359="","",P359*'Config  Metas'!$B$10)</f>
        <v/>
      </c>
      <c r="R359" s="4" t="str">
        <f>IF(COUNTA(D359,E359,F359,H359,J359,L359,N359,P359)=0,"",IF(AND(D359&gt;0,E359/D359&lt;'Config  Metas'!$B$8),"🚨 COBERTURA DE LLAMADOS BAJA",IF(G359&lt;'Config  Metas'!$B$2,"🚨 CONTACTO BAJO",IF(I359&lt;'Config  Metas'!$B$3,"🚨 AGENDAMIENTO BAJO",IF(K359&lt;'Config  Metas'!$B$4,"⚠️ SHOW BAJO",IF(M359&lt;'Config  Metas'!$B$5,"🚨 RESERVA BAJA",IF(O359&lt;'Config  Metas'!$B$6,"🚨 CIERRE BAJO",IF(P359&lt;D359*'Config  Metas'!$B$15*'Config  Metas'!$B$9,"🔻 UF BAJO RITMO DINÁMICO","✅ DÍA SOBRE RITMO"))))))))</f>
        <v/>
      </c>
      <c r="S359" s="10"/>
      <c r="T359" s="10"/>
      <c r="U359" s="2"/>
      <c r="V359" s="2"/>
      <c r="W359" s="2"/>
      <c r="X359" s="2"/>
      <c r="Y359" s="2"/>
      <c r="Z359" s="2"/>
    </row>
    <row r="360" ht="15.75" customHeight="1">
      <c r="A360" s="3">
        <v>46525.0</v>
      </c>
      <c r="B360" s="4" t="str">
        <f t="shared" si="1"/>
        <v>Sem 52</v>
      </c>
      <c r="C360" s="4" t="str">
        <f t="shared" si="2"/>
        <v>Martes</v>
      </c>
      <c r="D360" s="11"/>
      <c r="E360" s="11"/>
      <c r="F360" s="11"/>
      <c r="G360" s="6" t="str">
        <f t="shared" si="3"/>
        <v/>
      </c>
      <c r="H360" s="11"/>
      <c r="I360" s="6" t="str">
        <f t="shared" si="4"/>
        <v/>
      </c>
      <c r="J360" s="11"/>
      <c r="K360" s="6" t="str">
        <f t="shared" si="5"/>
        <v/>
      </c>
      <c r="L360" s="11"/>
      <c r="M360" s="6" t="str">
        <f t="shared" si="6"/>
        <v/>
      </c>
      <c r="N360" s="11"/>
      <c r="O360" s="6" t="str">
        <f t="shared" si="7"/>
        <v/>
      </c>
      <c r="P360" s="12"/>
      <c r="Q360" s="8" t="str">
        <f>IF(P360="","",P360*'Config  Metas'!$B$10)</f>
        <v/>
      </c>
      <c r="R360" s="4" t="str">
        <f>IF(COUNTA(D360,E360,F360,H360,J360,L360,N360,P360)=0,"",IF(AND(D360&gt;0,E360/D360&lt;'Config  Metas'!$B$8),"🚨 COBERTURA DE LLAMADOS BAJA",IF(G360&lt;'Config  Metas'!$B$2,"🚨 CONTACTO BAJO",IF(I360&lt;'Config  Metas'!$B$3,"🚨 AGENDAMIENTO BAJO",IF(K360&lt;'Config  Metas'!$B$4,"⚠️ SHOW BAJO",IF(M360&lt;'Config  Metas'!$B$5,"🚨 RESERVA BAJA",IF(O360&lt;'Config  Metas'!$B$6,"🚨 CIERRE BAJO",IF(P360&lt;D360*'Config  Metas'!$B$15*'Config  Metas'!$B$9,"🔻 UF BAJO RITMO DINÁMICO","✅ DÍA SOBRE RITMO"))))))))</f>
        <v/>
      </c>
      <c r="S360" s="10"/>
      <c r="T360" s="10"/>
      <c r="U360" s="2"/>
      <c r="V360" s="2"/>
      <c r="W360" s="2"/>
      <c r="X360" s="2"/>
      <c r="Y360" s="2"/>
      <c r="Z360" s="2"/>
    </row>
    <row r="361" ht="15.75" customHeight="1">
      <c r="A361" s="3">
        <v>46526.0</v>
      </c>
      <c r="B361" s="4" t="str">
        <f t="shared" si="1"/>
        <v>Sem 52</v>
      </c>
      <c r="C361" s="4" t="str">
        <f t="shared" si="2"/>
        <v>Miércoles</v>
      </c>
      <c r="D361" s="11"/>
      <c r="E361" s="11"/>
      <c r="F361" s="11"/>
      <c r="G361" s="6" t="str">
        <f t="shared" si="3"/>
        <v/>
      </c>
      <c r="H361" s="11"/>
      <c r="I361" s="6" t="str">
        <f t="shared" si="4"/>
        <v/>
      </c>
      <c r="J361" s="11"/>
      <c r="K361" s="6" t="str">
        <f t="shared" si="5"/>
        <v/>
      </c>
      <c r="L361" s="11"/>
      <c r="M361" s="6" t="str">
        <f t="shared" si="6"/>
        <v/>
      </c>
      <c r="N361" s="11"/>
      <c r="O361" s="6" t="str">
        <f t="shared" si="7"/>
        <v/>
      </c>
      <c r="P361" s="12"/>
      <c r="Q361" s="8" t="str">
        <f>IF(P361="","",P361*'Config  Metas'!$B$10)</f>
        <v/>
      </c>
      <c r="R361" s="4" t="str">
        <f>IF(COUNTA(D361,E361,F361,H361,J361,L361,N361,P361)=0,"",IF(AND(D361&gt;0,E361/D361&lt;'Config  Metas'!$B$8),"🚨 COBERTURA DE LLAMADOS BAJA",IF(G361&lt;'Config  Metas'!$B$2,"🚨 CONTACTO BAJO",IF(I361&lt;'Config  Metas'!$B$3,"🚨 AGENDAMIENTO BAJO",IF(K361&lt;'Config  Metas'!$B$4,"⚠️ SHOW BAJO",IF(M361&lt;'Config  Metas'!$B$5,"🚨 RESERVA BAJA",IF(O361&lt;'Config  Metas'!$B$6,"🚨 CIERRE BAJO",IF(P361&lt;D361*'Config  Metas'!$B$15*'Config  Metas'!$B$9,"🔻 UF BAJO RITMO DINÁMICO","✅ DÍA SOBRE RITMO"))))))))</f>
        <v/>
      </c>
      <c r="S361" s="10"/>
      <c r="T361" s="10"/>
      <c r="U361" s="2"/>
      <c r="V361" s="2"/>
      <c r="W361" s="2"/>
      <c r="X361" s="2"/>
      <c r="Y361" s="2"/>
      <c r="Z361" s="2"/>
    </row>
    <row r="362" ht="15.75" customHeight="1">
      <c r="A362" s="3">
        <v>46527.0</v>
      </c>
      <c r="B362" s="4" t="str">
        <f t="shared" si="1"/>
        <v>Sem 52</v>
      </c>
      <c r="C362" s="4" t="str">
        <f t="shared" si="2"/>
        <v>Jueves</v>
      </c>
      <c r="D362" s="11"/>
      <c r="E362" s="11"/>
      <c r="F362" s="11"/>
      <c r="G362" s="6" t="str">
        <f t="shared" si="3"/>
        <v/>
      </c>
      <c r="H362" s="11"/>
      <c r="I362" s="6" t="str">
        <f t="shared" si="4"/>
        <v/>
      </c>
      <c r="J362" s="11"/>
      <c r="K362" s="6" t="str">
        <f t="shared" si="5"/>
        <v/>
      </c>
      <c r="L362" s="11"/>
      <c r="M362" s="6" t="str">
        <f t="shared" si="6"/>
        <v/>
      </c>
      <c r="N362" s="11"/>
      <c r="O362" s="6" t="str">
        <f t="shared" si="7"/>
        <v/>
      </c>
      <c r="P362" s="12"/>
      <c r="Q362" s="8" t="str">
        <f>IF(P362="","",P362*'Config  Metas'!$B$10)</f>
        <v/>
      </c>
      <c r="R362" s="4" t="str">
        <f>IF(COUNTA(D362,E362,F362,H362,J362,L362,N362,P362)=0,"",IF(AND(D362&gt;0,E362/D362&lt;'Config  Metas'!$B$8),"🚨 COBERTURA DE LLAMADOS BAJA",IF(G362&lt;'Config  Metas'!$B$2,"🚨 CONTACTO BAJO",IF(I362&lt;'Config  Metas'!$B$3,"🚨 AGENDAMIENTO BAJO",IF(K362&lt;'Config  Metas'!$B$4,"⚠️ SHOW BAJO",IF(M362&lt;'Config  Metas'!$B$5,"🚨 RESERVA BAJA",IF(O362&lt;'Config  Metas'!$B$6,"🚨 CIERRE BAJO",IF(P362&lt;D362*'Config  Metas'!$B$15*'Config  Metas'!$B$9,"🔻 UF BAJO RITMO DINÁMICO","✅ DÍA SOBRE RITMO"))))))))</f>
        <v/>
      </c>
      <c r="S362" s="10"/>
      <c r="T362" s="10"/>
      <c r="U362" s="2"/>
      <c r="V362" s="2"/>
      <c r="W362" s="2"/>
      <c r="X362" s="2"/>
      <c r="Y362" s="2"/>
      <c r="Z362" s="2"/>
    </row>
    <row r="363" ht="15.75" customHeight="1">
      <c r="A363" s="3">
        <v>46528.0</v>
      </c>
      <c r="B363" s="4" t="str">
        <f t="shared" si="1"/>
        <v>Sem 52</v>
      </c>
      <c r="C363" s="4" t="str">
        <f t="shared" si="2"/>
        <v>Viernes</v>
      </c>
      <c r="D363" s="11"/>
      <c r="E363" s="11"/>
      <c r="F363" s="11"/>
      <c r="G363" s="6" t="str">
        <f t="shared" si="3"/>
        <v/>
      </c>
      <c r="H363" s="11"/>
      <c r="I363" s="6" t="str">
        <f t="shared" si="4"/>
        <v/>
      </c>
      <c r="J363" s="11"/>
      <c r="K363" s="6" t="str">
        <f t="shared" si="5"/>
        <v/>
      </c>
      <c r="L363" s="11"/>
      <c r="M363" s="6" t="str">
        <f t="shared" si="6"/>
        <v/>
      </c>
      <c r="N363" s="11"/>
      <c r="O363" s="6" t="str">
        <f t="shared" si="7"/>
        <v/>
      </c>
      <c r="P363" s="12"/>
      <c r="Q363" s="8" t="str">
        <f>IF(P363="","",P363*'Config  Metas'!$B$10)</f>
        <v/>
      </c>
      <c r="R363" s="4" t="str">
        <f>IF(COUNTA(D363,E363,F363,H363,J363,L363,N363,P363)=0,"",IF(AND(D363&gt;0,E363/D363&lt;'Config  Metas'!$B$8),"🚨 COBERTURA DE LLAMADOS BAJA",IF(G363&lt;'Config  Metas'!$B$2,"🚨 CONTACTO BAJO",IF(I363&lt;'Config  Metas'!$B$3,"🚨 AGENDAMIENTO BAJO",IF(K363&lt;'Config  Metas'!$B$4,"⚠️ SHOW BAJO",IF(M363&lt;'Config  Metas'!$B$5,"🚨 RESERVA BAJA",IF(O363&lt;'Config  Metas'!$B$6,"🚨 CIERRE BAJO",IF(P363&lt;D363*'Config  Metas'!$B$15*'Config  Metas'!$B$9,"🔻 UF BAJO RITMO DINÁMICO","✅ DÍA SOBRE RITMO"))))))))</f>
        <v/>
      </c>
      <c r="S363" s="10"/>
      <c r="T363" s="10"/>
      <c r="U363" s="2"/>
      <c r="V363" s="2"/>
      <c r="W363" s="2"/>
      <c r="X363" s="2"/>
      <c r="Y363" s="2"/>
      <c r="Z363" s="2"/>
    </row>
    <row r="364" ht="15.75" customHeight="1">
      <c r="A364" s="3">
        <v>46529.0</v>
      </c>
      <c r="B364" s="4" t="str">
        <f t="shared" si="1"/>
        <v>Sem 52</v>
      </c>
      <c r="C364" s="4" t="str">
        <f t="shared" si="2"/>
        <v>Sábado</v>
      </c>
      <c r="D364" s="11"/>
      <c r="E364" s="11"/>
      <c r="F364" s="11"/>
      <c r="G364" s="6" t="str">
        <f t="shared" si="3"/>
        <v/>
      </c>
      <c r="H364" s="11"/>
      <c r="I364" s="6" t="str">
        <f t="shared" si="4"/>
        <v/>
      </c>
      <c r="J364" s="11"/>
      <c r="K364" s="6" t="str">
        <f t="shared" si="5"/>
        <v/>
      </c>
      <c r="L364" s="11"/>
      <c r="M364" s="6" t="str">
        <f t="shared" si="6"/>
        <v/>
      </c>
      <c r="N364" s="11"/>
      <c r="O364" s="6" t="str">
        <f t="shared" si="7"/>
        <v/>
      </c>
      <c r="P364" s="12"/>
      <c r="Q364" s="8" t="str">
        <f>IF(P364="","",P364*'Config  Metas'!$B$10)</f>
        <v/>
      </c>
      <c r="R364" s="4" t="str">
        <f>IF(COUNTA(D364,E364,F364,H364,J364,L364,N364,P364)=0,"",IF(AND(D364&gt;0,E364/D364&lt;'Config  Metas'!$B$8),"🚨 COBERTURA DE LLAMADOS BAJA",IF(G364&lt;'Config  Metas'!$B$2,"🚨 CONTACTO BAJO",IF(I364&lt;'Config  Metas'!$B$3,"🚨 AGENDAMIENTO BAJO",IF(K364&lt;'Config  Metas'!$B$4,"⚠️ SHOW BAJO",IF(M364&lt;'Config  Metas'!$B$5,"🚨 RESERVA BAJA",IF(O364&lt;'Config  Metas'!$B$6,"🚨 CIERRE BAJO",IF(P364&lt;D364*'Config  Metas'!$B$15*'Config  Metas'!$B$9,"🔻 UF BAJO RITMO DINÁMICO","✅ DÍA SOBRE RITMO"))))))))</f>
        <v/>
      </c>
      <c r="S364" s="10"/>
      <c r="T364" s="10"/>
      <c r="U364" s="2"/>
      <c r="V364" s="2"/>
      <c r="W364" s="2"/>
      <c r="X364" s="2"/>
      <c r="Y364" s="2"/>
      <c r="Z364" s="2"/>
    </row>
    <row r="365" ht="15.75" customHeight="1">
      <c r="A365" s="3">
        <v>46530.0</v>
      </c>
      <c r="B365" s="4" t="str">
        <f t="shared" si="1"/>
        <v>Sem 52</v>
      </c>
      <c r="C365" s="4" t="str">
        <f t="shared" si="2"/>
        <v>Domingo</v>
      </c>
      <c r="D365" s="11"/>
      <c r="E365" s="11"/>
      <c r="F365" s="11"/>
      <c r="G365" s="6" t="str">
        <f t="shared" si="3"/>
        <v/>
      </c>
      <c r="H365" s="11"/>
      <c r="I365" s="6" t="str">
        <f t="shared" si="4"/>
        <v/>
      </c>
      <c r="J365" s="11"/>
      <c r="K365" s="6" t="str">
        <f t="shared" si="5"/>
        <v/>
      </c>
      <c r="L365" s="11"/>
      <c r="M365" s="6" t="str">
        <f t="shared" si="6"/>
        <v/>
      </c>
      <c r="N365" s="11"/>
      <c r="O365" s="6" t="str">
        <f t="shared" si="7"/>
        <v/>
      </c>
      <c r="P365" s="12"/>
      <c r="Q365" s="8" t="str">
        <f>IF(P365="","",P365*'Config  Metas'!$B$10)</f>
        <v/>
      </c>
      <c r="R365" s="4" t="str">
        <f>IF(COUNTA(D365,E365,F365,H365,J365,L365,N365,P365)=0,"",IF(AND(D365&gt;0,E365/D365&lt;'Config  Metas'!$B$8),"🚨 COBERTURA DE LLAMADOS BAJA",IF(G365&lt;'Config  Metas'!$B$2,"🚨 CONTACTO BAJO",IF(I365&lt;'Config  Metas'!$B$3,"🚨 AGENDAMIENTO BAJO",IF(K365&lt;'Config  Metas'!$B$4,"⚠️ SHOW BAJO",IF(M365&lt;'Config  Metas'!$B$5,"🚨 RESERVA BAJA",IF(O365&lt;'Config  Metas'!$B$6,"🚨 CIERRE BAJO",IF(P365&lt;D365*'Config  Metas'!$B$15*'Config  Metas'!$B$9,"🔻 UF BAJO RITMO DINÁMICO","✅ DÍA SOBRE RITMO"))))))))</f>
        <v/>
      </c>
      <c r="S365" s="10"/>
      <c r="T365" s="10"/>
      <c r="U365" s="2"/>
      <c r="V365" s="2"/>
      <c r="W365" s="2"/>
      <c r="X365" s="2"/>
      <c r="Y365" s="2"/>
      <c r="Z365" s="2"/>
    </row>
    <row r="366" ht="15.75" customHeight="1">
      <c r="A366" s="3">
        <v>46531.0</v>
      </c>
      <c r="B366" s="4" t="str">
        <f t="shared" si="1"/>
        <v>Sem 52</v>
      </c>
      <c r="C366" s="4" t="str">
        <f t="shared" si="2"/>
        <v>Lunes</v>
      </c>
      <c r="D366" s="11"/>
      <c r="E366" s="11"/>
      <c r="F366" s="11"/>
      <c r="G366" s="6" t="str">
        <f t="shared" si="3"/>
        <v/>
      </c>
      <c r="H366" s="11"/>
      <c r="I366" s="6" t="str">
        <f t="shared" si="4"/>
        <v/>
      </c>
      <c r="J366" s="11"/>
      <c r="K366" s="6" t="str">
        <f t="shared" si="5"/>
        <v/>
      </c>
      <c r="L366" s="11"/>
      <c r="M366" s="6" t="str">
        <f t="shared" si="6"/>
        <v/>
      </c>
      <c r="N366" s="11"/>
      <c r="O366" s="6" t="str">
        <f t="shared" si="7"/>
        <v/>
      </c>
      <c r="P366" s="12"/>
      <c r="Q366" s="8" t="str">
        <f>IF(P366="","",P366*'Config  Metas'!$B$10)</f>
        <v/>
      </c>
      <c r="R366" s="4" t="str">
        <f>IF(COUNTA(D366,E366,F366,H366,J366,L366,N366,P366)=0,"",IF(AND(D366&gt;0,E366/D366&lt;'Config  Metas'!$B$8),"🚨 COBERTURA DE LLAMADOS BAJA",IF(G366&lt;'Config  Metas'!$B$2,"🚨 CONTACTO BAJO",IF(I366&lt;'Config  Metas'!$B$3,"🚨 AGENDAMIENTO BAJO",IF(K366&lt;'Config  Metas'!$B$4,"⚠️ SHOW BAJO",IF(M366&lt;'Config  Metas'!$B$5,"🚨 RESERVA BAJA",IF(O366&lt;'Config  Metas'!$B$6,"🚨 CIERRE BAJO",IF(P366&lt;D366*'Config  Metas'!$B$15*'Config  Metas'!$B$9,"🔻 UF BAJO RITMO DINÁMICO","✅ DÍA SOBRE RITMO"))))))))</f>
        <v/>
      </c>
      <c r="S366" s="10"/>
      <c r="T366" s="10"/>
      <c r="U366" s="2"/>
      <c r="V366" s="2"/>
      <c r="W366" s="2"/>
      <c r="X366" s="2"/>
      <c r="Y366" s="2"/>
      <c r="Z366" s="2"/>
    </row>
    <row r="367" ht="15.75" customHeight="1">
      <c r="A367" s="2"/>
      <c r="B367" s="2"/>
      <c r="C367" s="2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2"/>
      <c r="U367" s="2"/>
      <c r="V367" s="2"/>
      <c r="W367" s="2"/>
      <c r="X367" s="2"/>
      <c r="Y367" s="2"/>
      <c r="Z367" s="2"/>
    </row>
    <row r="368" ht="15.75" customHeight="1">
      <c r="A368" s="2"/>
      <c r="B368" s="2"/>
      <c r="C368" s="2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  <c r="P368" s="2"/>
      <c r="Q368" s="2"/>
      <c r="R368" s="2"/>
      <c r="S368" s="2"/>
      <c r="T368" s="2"/>
      <c r="U368" s="2"/>
      <c r="V368" s="2"/>
      <c r="W368" s="2"/>
      <c r="X368" s="2"/>
      <c r="Y368" s="2"/>
      <c r="Z368" s="2"/>
    </row>
    <row r="369" ht="15.75" customHeight="1">
      <c r="A369" s="2"/>
      <c r="B369" s="2"/>
      <c r="C369" s="2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2"/>
      <c r="U369" s="2"/>
      <c r="V369" s="2"/>
      <c r="W369" s="2"/>
      <c r="X369" s="2"/>
      <c r="Y369" s="2"/>
      <c r="Z369" s="2"/>
    </row>
    <row r="370" ht="15.75" customHeight="1">
      <c r="A370" s="2"/>
      <c r="B370" s="2"/>
      <c r="C370" s="2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  <c r="P370" s="2"/>
      <c r="Q370" s="2"/>
      <c r="R370" s="2"/>
      <c r="S370" s="2"/>
      <c r="T370" s="2"/>
      <c r="U370" s="2"/>
      <c r="V370" s="2"/>
      <c r="W370" s="2"/>
      <c r="X370" s="2"/>
      <c r="Y370" s="2"/>
      <c r="Z370" s="2"/>
    </row>
    <row r="371" ht="15.75" customHeight="1">
      <c r="A371" s="2"/>
      <c r="B371" s="2"/>
      <c r="C371" s="2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2"/>
      <c r="U371" s="2"/>
      <c r="V371" s="2"/>
      <c r="W371" s="2"/>
      <c r="X371" s="2"/>
      <c r="Y371" s="2"/>
      <c r="Z371" s="2"/>
    </row>
    <row r="372" ht="15.75" customHeight="1">
      <c r="A372" s="2"/>
      <c r="B372" s="2"/>
      <c r="C372" s="2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  <c r="P372" s="2"/>
      <c r="Q372" s="2"/>
      <c r="R372" s="2"/>
      <c r="S372" s="2"/>
      <c r="T372" s="2"/>
      <c r="U372" s="2"/>
      <c r="V372" s="2"/>
      <c r="W372" s="2"/>
      <c r="X372" s="2"/>
      <c r="Y372" s="2"/>
      <c r="Z372" s="2"/>
    </row>
    <row r="373" ht="15.75" customHeight="1">
      <c r="A373" s="2"/>
      <c r="B373" s="2"/>
      <c r="C373" s="2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  <c r="P373" s="2"/>
      <c r="Q373" s="2"/>
      <c r="R373" s="2"/>
      <c r="S373" s="2"/>
      <c r="T373" s="2"/>
      <c r="U373" s="2"/>
      <c r="V373" s="2"/>
      <c r="W373" s="2"/>
      <c r="X373" s="2"/>
      <c r="Y373" s="2"/>
      <c r="Z373" s="2"/>
    </row>
    <row r="374" ht="15.75" customHeight="1">
      <c r="A374" s="2"/>
      <c r="B374" s="2"/>
      <c r="C374" s="2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  <c r="P374" s="2"/>
      <c r="Q374" s="2"/>
      <c r="R374" s="2"/>
      <c r="S374" s="2"/>
      <c r="T374" s="2"/>
      <c r="U374" s="2"/>
      <c r="V374" s="2"/>
      <c r="W374" s="2"/>
      <c r="X374" s="2"/>
      <c r="Y374" s="2"/>
      <c r="Z374" s="2"/>
    </row>
    <row r="375" ht="15.75" customHeight="1">
      <c r="A375" s="2"/>
      <c r="B375" s="2"/>
      <c r="C375" s="2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  <c r="P375" s="2"/>
      <c r="Q375" s="2"/>
      <c r="R375" s="2"/>
      <c r="S375" s="2"/>
      <c r="T375" s="2"/>
      <c r="U375" s="2"/>
      <c r="V375" s="2"/>
      <c r="W375" s="2"/>
      <c r="X375" s="2"/>
      <c r="Y375" s="2"/>
      <c r="Z375" s="2"/>
    </row>
    <row r="376" ht="15.75" customHeight="1">
      <c r="A376" s="2"/>
      <c r="B376" s="2"/>
      <c r="C376" s="2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  <c r="P376" s="2"/>
      <c r="Q376" s="2"/>
      <c r="R376" s="2"/>
      <c r="S376" s="2"/>
      <c r="T376" s="2"/>
      <c r="U376" s="2"/>
      <c r="V376" s="2"/>
      <c r="W376" s="2"/>
      <c r="X376" s="2"/>
      <c r="Y376" s="2"/>
      <c r="Z376" s="2"/>
    </row>
    <row r="377" ht="15.75" customHeight="1">
      <c r="A377" s="2"/>
      <c r="B377" s="2"/>
      <c r="C377" s="2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  <c r="P377" s="2"/>
      <c r="Q377" s="2"/>
      <c r="R377" s="2"/>
      <c r="S377" s="2"/>
      <c r="T377" s="2"/>
      <c r="U377" s="2"/>
      <c r="V377" s="2"/>
      <c r="W377" s="2"/>
      <c r="X377" s="2"/>
      <c r="Y377" s="2"/>
      <c r="Z377" s="2"/>
    </row>
    <row r="378" ht="15.75" customHeight="1">
      <c r="A378" s="2"/>
      <c r="B378" s="2"/>
      <c r="C378" s="2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  <c r="P378" s="2"/>
      <c r="Q378" s="2"/>
      <c r="R378" s="2"/>
      <c r="S378" s="2"/>
      <c r="T378" s="2"/>
      <c r="U378" s="2"/>
      <c r="V378" s="2"/>
      <c r="W378" s="2"/>
      <c r="X378" s="2"/>
      <c r="Y378" s="2"/>
      <c r="Z378" s="2"/>
    </row>
    <row r="379" ht="15.75" customHeight="1">
      <c r="A379" s="2"/>
      <c r="B379" s="2"/>
      <c r="C379" s="2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  <c r="P379" s="2"/>
      <c r="Q379" s="2"/>
      <c r="R379" s="2"/>
      <c r="S379" s="2"/>
      <c r="T379" s="2"/>
      <c r="U379" s="2"/>
      <c r="V379" s="2"/>
      <c r="W379" s="2"/>
      <c r="X379" s="2"/>
      <c r="Y379" s="2"/>
      <c r="Z379" s="2"/>
    </row>
    <row r="380" ht="15.75" customHeight="1">
      <c r="A380" s="2"/>
      <c r="B380" s="2"/>
      <c r="C380" s="2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  <c r="P380" s="2"/>
      <c r="Q380" s="2"/>
      <c r="R380" s="2"/>
      <c r="S380" s="2"/>
      <c r="T380" s="2"/>
      <c r="U380" s="2"/>
      <c r="V380" s="2"/>
      <c r="W380" s="2"/>
      <c r="X380" s="2"/>
      <c r="Y380" s="2"/>
      <c r="Z380" s="2"/>
    </row>
    <row r="381" ht="15.75" customHeight="1">
      <c r="A381" s="2"/>
      <c r="B381" s="2"/>
      <c r="C381" s="2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  <c r="P381" s="2"/>
      <c r="Q381" s="2"/>
      <c r="R381" s="2"/>
      <c r="S381" s="2"/>
      <c r="T381" s="2"/>
      <c r="U381" s="2"/>
      <c r="V381" s="2"/>
      <c r="W381" s="2"/>
      <c r="X381" s="2"/>
      <c r="Y381" s="2"/>
      <c r="Z381" s="2"/>
    </row>
    <row r="382" ht="15.75" customHeight="1">
      <c r="A382" s="2"/>
      <c r="B382" s="2"/>
      <c r="C382" s="2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  <c r="P382" s="2"/>
      <c r="Q382" s="2"/>
      <c r="R382" s="2"/>
      <c r="S382" s="2"/>
      <c r="T382" s="2"/>
      <c r="U382" s="2"/>
      <c r="V382" s="2"/>
      <c r="W382" s="2"/>
      <c r="X382" s="2"/>
      <c r="Y382" s="2"/>
      <c r="Z382" s="2"/>
    </row>
    <row r="383" ht="15.75" customHeight="1">
      <c r="A383" s="2"/>
      <c r="B383" s="2"/>
      <c r="C383" s="2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  <c r="P383" s="2"/>
      <c r="Q383" s="2"/>
      <c r="R383" s="2"/>
      <c r="S383" s="2"/>
      <c r="T383" s="2"/>
      <c r="U383" s="2"/>
      <c r="V383" s="2"/>
      <c r="W383" s="2"/>
      <c r="X383" s="2"/>
      <c r="Y383" s="2"/>
      <c r="Z383" s="2"/>
    </row>
    <row r="384" ht="15.75" customHeight="1">
      <c r="A384" s="2"/>
      <c r="B384" s="2"/>
      <c r="C384" s="2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  <c r="P384" s="2"/>
      <c r="Q384" s="2"/>
      <c r="R384" s="2"/>
      <c r="S384" s="2"/>
      <c r="T384" s="2"/>
      <c r="U384" s="2"/>
      <c r="V384" s="2"/>
      <c r="W384" s="2"/>
      <c r="X384" s="2"/>
      <c r="Y384" s="2"/>
      <c r="Z384" s="2"/>
    </row>
    <row r="385" ht="15.75" customHeight="1">
      <c r="A385" s="2"/>
      <c r="B385" s="2"/>
      <c r="C385" s="2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  <c r="P385" s="2"/>
      <c r="Q385" s="2"/>
      <c r="R385" s="2"/>
      <c r="S385" s="2"/>
      <c r="T385" s="2"/>
      <c r="U385" s="2"/>
      <c r="V385" s="2"/>
      <c r="W385" s="2"/>
      <c r="X385" s="2"/>
      <c r="Y385" s="2"/>
      <c r="Z385" s="2"/>
    </row>
    <row r="386" ht="15.75" customHeight="1">
      <c r="A386" s="2"/>
      <c r="B386" s="2"/>
      <c r="C386" s="2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  <c r="P386" s="2"/>
      <c r="Q386" s="2"/>
      <c r="R386" s="2"/>
      <c r="S386" s="2"/>
      <c r="T386" s="2"/>
      <c r="U386" s="2"/>
      <c r="V386" s="2"/>
      <c r="W386" s="2"/>
      <c r="X386" s="2"/>
      <c r="Y386" s="2"/>
      <c r="Z386" s="2"/>
    </row>
    <row r="387" ht="15.75" customHeight="1">
      <c r="A387" s="2"/>
      <c r="B387" s="2"/>
      <c r="C387" s="2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  <c r="P387" s="2"/>
      <c r="Q387" s="2"/>
      <c r="R387" s="2"/>
      <c r="S387" s="2"/>
      <c r="T387" s="2"/>
      <c r="U387" s="2"/>
      <c r="V387" s="2"/>
      <c r="W387" s="2"/>
      <c r="X387" s="2"/>
      <c r="Y387" s="2"/>
      <c r="Z387" s="2"/>
    </row>
    <row r="388" ht="15.75" customHeight="1">
      <c r="A388" s="2"/>
      <c r="B388" s="2"/>
      <c r="C388" s="2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  <c r="P388" s="2"/>
      <c r="Q388" s="2"/>
      <c r="R388" s="2"/>
      <c r="S388" s="2"/>
      <c r="T388" s="2"/>
      <c r="U388" s="2"/>
      <c r="V388" s="2"/>
      <c r="W388" s="2"/>
      <c r="X388" s="2"/>
      <c r="Y388" s="2"/>
      <c r="Z388" s="2"/>
    </row>
    <row r="389" ht="15.75" customHeight="1">
      <c r="A389" s="2"/>
      <c r="B389" s="2"/>
      <c r="C389" s="2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  <c r="P389" s="2"/>
      <c r="Q389" s="2"/>
      <c r="R389" s="2"/>
      <c r="S389" s="2"/>
      <c r="T389" s="2"/>
      <c r="U389" s="2"/>
      <c r="V389" s="2"/>
      <c r="W389" s="2"/>
      <c r="X389" s="2"/>
      <c r="Y389" s="2"/>
      <c r="Z389" s="2"/>
    </row>
    <row r="390" ht="15.75" customHeight="1">
      <c r="A390" s="2"/>
      <c r="B390" s="2"/>
      <c r="C390" s="2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  <c r="P390" s="2"/>
      <c r="Q390" s="2"/>
      <c r="R390" s="2"/>
      <c r="S390" s="2"/>
      <c r="T390" s="2"/>
      <c r="U390" s="2"/>
      <c r="V390" s="2"/>
      <c r="W390" s="2"/>
      <c r="X390" s="2"/>
      <c r="Y390" s="2"/>
      <c r="Z390" s="2"/>
    </row>
    <row r="391" ht="15.75" customHeight="1">
      <c r="A391" s="2"/>
      <c r="B391" s="2"/>
      <c r="C391" s="2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  <c r="P391" s="2"/>
      <c r="Q391" s="2"/>
      <c r="R391" s="2"/>
      <c r="S391" s="2"/>
      <c r="T391" s="2"/>
      <c r="U391" s="2"/>
      <c r="V391" s="2"/>
      <c r="W391" s="2"/>
      <c r="X391" s="2"/>
      <c r="Y391" s="2"/>
      <c r="Z391" s="2"/>
    </row>
    <row r="392" ht="15.75" customHeight="1">
      <c r="A392" s="2"/>
      <c r="B392" s="2"/>
      <c r="C392" s="2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  <c r="P392" s="2"/>
      <c r="Q392" s="2"/>
      <c r="R392" s="2"/>
      <c r="S392" s="2"/>
      <c r="T392" s="2"/>
      <c r="U392" s="2"/>
      <c r="V392" s="2"/>
      <c r="W392" s="2"/>
      <c r="X392" s="2"/>
      <c r="Y392" s="2"/>
      <c r="Z392" s="2"/>
    </row>
    <row r="393" ht="15.75" customHeight="1">
      <c r="A393" s="2"/>
      <c r="B393" s="2"/>
      <c r="C393" s="2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  <c r="P393" s="2"/>
      <c r="Q393" s="2"/>
      <c r="R393" s="2"/>
      <c r="S393" s="2"/>
      <c r="T393" s="2"/>
      <c r="U393" s="2"/>
      <c r="V393" s="2"/>
      <c r="W393" s="2"/>
      <c r="X393" s="2"/>
      <c r="Y393" s="2"/>
      <c r="Z393" s="2"/>
    </row>
    <row r="394" ht="15.75" customHeight="1">
      <c r="A394" s="2"/>
      <c r="B394" s="2"/>
      <c r="C394" s="2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  <c r="P394" s="2"/>
      <c r="Q394" s="2"/>
      <c r="R394" s="2"/>
      <c r="S394" s="2"/>
      <c r="T394" s="2"/>
      <c r="U394" s="2"/>
      <c r="V394" s="2"/>
      <c r="W394" s="2"/>
      <c r="X394" s="2"/>
      <c r="Y394" s="2"/>
      <c r="Z394" s="2"/>
    </row>
    <row r="395" ht="15.75" customHeight="1">
      <c r="A395" s="2"/>
      <c r="B395" s="2"/>
      <c r="C395" s="2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  <c r="P395" s="2"/>
      <c r="Q395" s="2"/>
      <c r="R395" s="2"/>
      <c r="S395" s="2"/>
      <c r="T395" s="2"/>
      <c r="U395" s="2"/>
      <c r="V395" s="2"/>
      <c r="W395" s="2"/>
      <c r="X395" s="2"/>
      <c r="Y395" s="2"/>
      <c r="Z395" s="2"/>
    </row>
    <row r="396" ht="15.75" customHeight="1">
      <c r="A396" s="2"/>
      <c r="B396" s="2"/>
      <c r="C396" s="2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  <c r="P396" s="2"/>
      <c r="Q396" s="2"/>
      <c r="R396" s="2"/>
      <c r="S396" s="2"/>
      <c r="T396" s="2"/>
      <c r="U396" s="2"/>
      <c r="V396" s="2"/>
      <c r="W396" s="2"/>
      <c r="X396" s="2"/>
      <c r="Y396" s="2"/>
      <c r="Z396" s="2"/>
    </row>
    <row r="397" ht="15.75" customHeight="1">
      <c r="A397" s="2"/>
      <c r="B397" s="2"/>
      <c r="C397" s="2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  <c r="P397" s="2"/>
      <c r="Q397" s="2"/>
      <c r="R397" s="2"/>
      <c r="S397" s="2"/>
      <c r="T397" s="2"/>
      <c r="U397" s="2"/>
      <c r="V397" s="2"/>
      <c r="W397" s="2"/>
      <c r="X397" s="2"/>
      <c r="Y397" s="2"/>
      <c r="Z397" s="2"/>
    </row>
    <row r="398" ht="15.75" customHeight="1">
      <c r="A398" s="2"/>
      <c r="B398" s="2"/>
      <c r="C398" s="2"/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  <c r="P398" s="2"/>
      <c r="Q398" s="2"/>
      <c r="R398" s="2"/>
      <c r="S398" s="2"/>
      <c r="T398" s="2"/>
      <c r="U398" s="2"/>
      <c r="V398" s="2"/>
      <c r="W398" s="2"/>
      <c r="X398" s="2"/>
      <c r="Y398" s="2"/>
      <c r="Z398" s="2"/>
    </row>
    <row r="399" ht="15.75" customHeight="1">
      <c r="A399" s="2"/>
      <c r="B399" s="2"/>
      <c r="C399" s="2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  <c r="P399" s="2"/>
      <c r="Q399" s="2"/>
      <c r="R399" s="2"/>
      <c r="S399" s="2"/>
      <c r="T399" s="2"/>
      <c r="U399" s="2"/>
      <c r="V399" s="2"/>
      <c r="W399" s="2"/>
      <c r="X399" s="2"/>
      <c r="Y399" s="2"/>
      <c r="Z399" s="2"/>
    </row>
    <row r="400" ht="15.75" customHeight="1">
      <c r="A400" s="2"/>
      <c r="B400" s="2"/>
      <c r="C400" s="2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  <c r="P400" s="2"/>
      <c r="Q400" s="2"/>
      <c r="R400" s="2"/>
      <c r="S400" s="2"/>
      <c r="T400" s="2"/>
      <c r="U400" s="2"/>
      <c r="V400" s="2"/>
      <c r="W400" s="2"/>
      <c r="X400" s="2"/>
      <c r="Y400" s="2"/>
      <c r="Z400" s="2"/>
    </row>
    <row r="401" ht="15.75" customHeight="1">
      <c r="A401" s="2"/>
      <c r="B401" s="2"/>
      <c r="C401" s="2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  <c r="P401" s="2"/>
      <c r="Q401" s="2"/>
      <c r="R401" s="2"/>
      <c r="S401" s="2"/>
      <c r="T401" s="2"/>
      <c r="U401" s="2"/>
      <c r="V401" s="2"/>
      <c r="W401" s="2"/>
      <c r="X401" s="2"/>
      <c r="Y401" s="2"/>
      <c r="Z401" s="2"/>
    </row>
    <row r="402" ht="15.75" customHeight="1">
      <c r="A402" s="2"/>
      <c r="B402" s="2"/>
      <c r="C402" s="2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  <c r="P402" s="2"/>
      <c r="Q402" s="2"/>
      <c r="R402" s="2"/>
      <c r="S402" s="2"/>
      <c r="T402" s="2"/>
      <c r="U402" s="2"/>
      <c r="V402" s="2"/>
      <c r="W402" s="2"/>
      <c r="X402" s="2"/>
      <c r="Y402" s="2"/>
      <c r="Z402" s="2"/>
    </row>
    <row r="403" ht="15.75" customHeight="1">
      <c r="A403" s="2"/>
      <c r="B403" s="2"/>
      <c r="C403" s="2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  <c r="P403" s="2"/>
      <c r="Q403" s="2"/>
      <c r="R403" s="2"/>
      <c r="S403" s="2"/>
      <c r="T403" s="2"/>
      <c r="U403" s="2"/>
      <c r="V403" s="2"/>
      <c r="W403" s="2"/>
      <c r="X403" s="2"/>
      <c r="Y403" s="2"/>
      <c r="Z403" s="2"/>
    </row>
    <row r="404" ht="15.75" customHeight="1">
      <c r="A404" s="2"/>
      <c r="B404" s="2"/>
      <c r="C404" s="2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  <c r="P404" s="2"/>
      <c r="Q404" s="2"/>
      <c r="R404" s="2"/>
      <c r="S404" s="2"/>
      <c r="T404" s="2"/>
      <c r="U404" s="2"/>
      <c r="V404" s="2"/>
      <c r="W404" s="2"/>
      <c r="X404" s="2"/>
      <c r="Y404" s="2"/>
      <c r="Z404" s="2"/>
    </row>
    <row r="405" ht="15.75" customHeight="1">
      <c r="A405" s="2"/>
      <c r="B405" s="2"/>
      <c r="C405" s="2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  <c r="P405" s="2"/>
      <c r="Q405" s="2"/>
      <c r="R405" s="2"/>
      <c r="S405" s="2"/>
      <c r="T405" s="2"/>
      <c r="U405" s="2"/>
      <c r="V405" s="2"/>
      <c r="W405" s="2"/>
      <c r="X405" s="2"/>
      <c r="Y405" s="2"/>
      <c r="Z405" s="2"/>
    </row>
    <row r="406" ht="15.75" customHeight="1">
      <c r="A406" s="2"/>
      <c r="B406" s="2"/>
      <c r="C406" s="2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  <c r="P406" s="2"/>
      <c r="Q406" s="2"/>
      <c r="R406" s="2"/>
      <c r="S406" s="2"/>
      <c r="T406" s="2"/>
      <c r="U406" s="2"/>
      <c r="V406" s="2"/>
      <c r="W406" s="2"/>
      <c r="X406" s="2"/>
      <c r="Y406" s="2"/>
      <c r="Z406" s="2"/>
    </row>
    <row r="407" ht="15.75" customHeight="1">
      <c r="A407" s="2"/>
      <c r="B407" s="2"/>
      <c r="C407" s="2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  <c r="P407" s="2"/>
      <c r="Q407" s="2"/>
      <c r="R407" s="2"/>
      <c r="S407" s="2"/>
      <c r="T407" s="2"/>
      <c r="U407" s="2"/>
      <c r="V407" s="2"/>
      <c r="W407" s="2"/>
      <c r="X407" s="2"/>
      <c r="Y407" s="2"/>
      <c r="Z407" s="2"/>
    </row>
    <row r="408" ht="15.75" customHeight="1">
      <c r="A408" s="2"/>
      <c r="B408" s="2"/>
      <c r="C408" s="2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  <c r="P408" s="2"/>
      <c r="Q408" s="2"/>
      <c r="R408" s="2"/>
      <c r="S408" s="2"/>
      <c r="T408" s="2"/>
      <c r="U408" s="2"/>
      <c r="V408" s="2"/>
      <c r="W408" s="2"/>
      <c r="X408" s="2"/>
      <c r="Y408" s="2"/>
      <c r="Z408" s="2"/>
    </row>
    <row r="409" ht="15.75" customHeight="1">
      <c r="A409" s="2"/>
      <c r="B409" s="2"/>
      <c r="C409" s="2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  <c r="P409" s="2"/>
      <c r="Q409" s="2"/>
      <c r="R409" s="2"/>
      <c r="S409" s="2"/>
      <c r="T409" s="2"/>
      <c r="U409" s="2"/>
      <c r="V409" s="2"/>
      <c r="W409" s="2"/>
      <c r="X409" s="2"/>
      <c r="Y409" s="2"/>
      <c r="Z409" s="2"/>
    </row>
    <row r="410" ht="15.75" customHeight="1">
      <c r="A410" s="2"/>
      <c r="B410" s="2"/>
      <c r="C410" s="2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  <c r="P410" s="2"/>
      <c r="Q410" s="2"/>
      <c r="R410" s="2"/>
      <c r="S410" s="2"/>
      <c r="T410" s="2"/>
      <c r="U410" s="2"/>
      <c r="V410" s="2"/>
      <c r="W410" s="2"/>
      <c r="X410" s="2"/>
      <c r="Y410" s="2"/>
      <c r="Z410" s="2"/>
    </row>
    <row r="411" ht="15.75" customHeight="1">
      <c r="A411" s="2"/>
      <c r="B411" s="2"/>
      <c r="C411" s="2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  <c r="P411" s="2"/>
      <c r="Q411" s="2"/>
      <c r="R411" s="2"/>
      <c r="S411" s="2"/>
      <c r="T411" s="2"/>
      <c r="U411" s="2"/>
      <c r="V411" s="2"/>
      <c r="W411" s="2"/>
      <c r="X411" s="2"/>
      <c r="Y411" s="2"/>
      <c r="Z411" s="2"/>
    </row>
    <row r="412" ht="15.75" customHeight="1">
      <c r="A412" s="2"/>
      <c r="B412" s="2"/>
      <c r="C412" s="2"/>
      <c r="D412" s="2"/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/>
      <c r="P412" s="2"/>
      <c r="Q412" s="2"/>
      <c r="R412" s="2"/>
      <c r="S412" s="2"/>
      <c r="T412" s="2"/>
      <c r="U412" s="2"/>
      <c r="V412" s="2"/>
      <c r="W412" s="2"/>
      <c r="X412" s="2"/>
      <c r="Y412" s="2"/>
      <c r="Z412" s="2"/>
    </row>
    <row r="413" ht="15.75" customHeight="1">
      <c r="A413" s="2"/>
      <c r="B413" s="2"/>
      <c r="C413" s="2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  <c r="P413" s="2"/>
      <c r="Q413" s="2"/>
      <c r="R413" s="2"/>
      <c r="S413" s="2"/>
      <c r="T413" s="2"/>
      <c r="U413" s="2"/>
      <c r="V413" s="2"/>
      <c r="W413" s="2"/>
      <c r="X413" s="2"/>
      <c r="Y413" s="2"/>
      <c r="Z413" s="2"/>
    </row>
    <row r="414" ht="15.75" customHeight="1">
      <c r="A414" s="2"/>
      <c r="B414" s="2"/>
      <c r="C414" s="2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  <c r="P414" s="2"/>
      <c r="Q414" s="2"/>
      <c r="R414" s="2"/>
      <c r="S414" s="2"/>
      <c r="T414" s="2"/>
      <c r="U414" s="2"/>
      <c r="V414" s="2"/>
      <c r="W414" s="2"/>
      <c r="X414" s="2"/>
      <c r="Y414" s="2"/>
      <c r="Z414" s="2"/>
    </row>
    <row r="415" ht="15.75" customHeight="1">
      <c r="A415" s="2"/>
      <c r="B415" s="2"/>
      <c r="C415" s="2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  <c r="P415" s="2"/>
      <c r="Q415" s="2"/>
      <c r="R415" s="2"/>
      <c r="S415" s="2"/>
      <c r="T415" s="2"/>
      <c r="U415" s="2"/>
      <c r="V415" s="2"/>
      <c r="W415" s="2"/>
      <c r="X415" s="2"/>
      <c r="Y415" s="2"/>
      <c r="Z415" s="2"/>
    </row>
    <row r="416" ht="15.75" customHeight="1">
      <c r="A416" s="2"/>
      <c r="B416" s="2"/>
      <c r="C416" s="2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  <c r="P416" s="2"/>
      <c r="Q416" s="2"/>
      <c r="R416" s="2"/>
      <c r="S416" s="2"/>
      <c r="T416" s="2"/>
      <c r="U416" s="2"/>
      <c r="V416" s="2"/>
      <c r="W416" s="2"/>
      <c r="X416" s="2"/>
      <c r="Y416" s="2"/>
      <c r="Z416" s="2"/>
    </row>
    <row r="417" ht="15.75" customHeight="1">
      <c r="A417" s="2"/>
      <c r="B417" s="2"/>
      <c r="C417" s="2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  <c r="P417" s="2"/>
      <c r="Q417" s="2"/>
      <c r="R417" s="2"/>
      <c r="S417" s="2"/>
      <c r="T417" s="2"/>
      <c r="U417" s="2"/>
      <c r="V417" s="2"/>
      <c r="W417" s="2"/>
      <c r="X417" s="2"/>
      <c r="Y417" s="2"/>
      <c r="Z417" s="2"/>
    </row>
    <row r="418" ht="15.75" customHeight="1">
      <c r="A418" s="2"/>
      <c r="B418" s="2"/>
      <c r="C418" s="2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  <c r="P418" s="2"/>
      <c r="Q418" s="2"/>
      <c r="R418" s="2"/>
      <c r="S418" s="2"/>
      <c r="T418" s="2"/>
      <c r="U418" s="2"/>
      <c r="V418" s="2"/>
      <c r="W418" s="2"/>
      <c r="X418" s="2"/>
      <c r="Y418" s="2"/>
      <c r="Z418" s="2"/>
    </row>
    <row r="419" ht="15.75" customHeight="1">
      <c r="A419" s="2"/>
      <c r="B419" s="2"/>
      <c r="C419" s="2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  <c r="P419" s="2"/>
      <c r="Q419" s="2"/>
      <c r="R419" s="2"/>
      <c r="S419" s="2"/>
      <c r="T419" s="2"/>
      <c r="U419" s="2"/>
      <c r="V419" s="2"/>
      <c r="W419" s="2"/>
      <c r="X419" s="2"/>
      <c r="Y419" s="2"/>
      <c r="Z419" s="2"/>
    </row>
    <row r="420" ht="15.75" customHeight="1">
      <c r="A420" s="2"/>
      <c r="B420" s="2"/>
      <c r="C420" s="2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  <c r="P420" s="2"/>
      <c r="Q420" s="2"/>
      <c r="R420" s="2"/>
      <c r="S420" s="2"/>
      <c r="T420" s="2"/>
      <c r="U420" s="2"/>
      <c r="V420" s="2"/>
      <c r="W420" s="2"/>
      <c r="X420" s="2"/>
      <c r="Y420" s="2"/>
      <c r="Z420" s="2"/>
    </row>
    <row r="421" ht="15.75" customHeight="1">
      <c r="A421" s="2"/>
      <c r="B421" s="2"/>
      <c r="C421" s="2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  <c r="P421" s="2"/>
      <c r="Q421" s="2"/>
      <c r="R421" s="2"/>
      <c r="S421" s="2"/>
      <c r="T421" s="2"/>
      <c r="U421" s="2"/>
      <c r="V421" s="2"/>
      <c r="W421" s="2"/>
      <c r="X421" s="2"/>
      <c r="Y421" s="2"/>
      <c r="Z421" s="2"/>
    </row>
    <row r="422" ht="15.75" customHeight="1">
      <c r="A422" s="2"/>
      <c r="B422" s="2"/>
      <c r="C422" s="2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  <c r="P422" s="2"/>
      <c r="Q422" s="2"/>
      <c r="R422" s="2"/>
      <c r="S422" s="2"/>
      <c r="T422" s="2"/>
      <c r="U422" s="2"/>
      <c r="V422" s="2"/>
      <c r="W422" s="2"/>
      <c r="X422" s="2"/>
      <c r="Y422" s="2"/>
      <c r="Z422" s="2"/>
    </row>
    <row r="423" ht="15.75" customHeight="1">
      <c r="A423" s="2"/>
      <c r="B423" s="2"/>
      <c r="C423" s="2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  <c r="P423" s="2"/>
      <c r="Q423" s="2"/>
      <c r="R423" s="2"/>
      <c r="S423" s="2"/>
      <c r="T423" s="2"/>
      <c r="U423" s="2"/>
      <c r="V423" s="2"/>
      <c r="W423" s="2"/>
      <c r="X423" s="2"/>
      <c r="Y423" s="2"/>
      <c r="Z423" s="2"/>
    </row>
    <row r="424" ht="15.75" customHeight="1">
      <c r="A424" s="2"/>
      <c r="B424" s="2"/>
      <c r="C424" s="2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  <c r="P424" s="2"/>
      <c r="Q424" s="2"/>
      <c r="R424" s="2"/>
      <c r="S424" s="2"/>
      <c r="T424" s="2"/>
      <c r="U424" s="2"/>
      <c r="V424" s="2"/>
      <c r="W424" s="2"/>
      <c r="X424" s="2"/>
      <c r="Y424" s="2"/>
      <c r="Z424" s="2"/>
    </row>
    <row r="425" ht="15.75" customHeight="1">
      <c r="A425" s="2"/>
      <c r="B425" s="2"/>
      <c r="C425" s="2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  <c r="P425" s="2"/>
      <c r="Q425" s="2"/>
      <c r="R425" s="2"/>
      <c r="S425" s="2"/>
      <c r="T425" s="2"/>
      <c r="U425" s="2"/>
      <c r="V425" s="2"/>
      <c r="W425" s="2"/>
      <c r="X425" s="2"/>
      <c r="Y425" s="2"/>
      <c r="Z425" s="2"/>
    </row>
    <row r="426" ht="15.75" customHeight="1">
      <c r="A426" s="2"/>
      <c r="B426" s="2"/>
      <c r="C426" s="2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  <c r="P426" s="2"/>
      <c r="Q426" s="2"/>
      <c r="R426" s="2"/>
      <c r="S426" s="2"/>
      <c r="T426" s="2"/>
      <c r="U426" s="2"/>
      <c r="V426" s="2"/>
      <c r="W426" s="2"/>
      <c r="X426" s="2"/>
      <c r="Y426" s="2"/>
      <c r="Z426" s="2"/>
    </row>
    <row r="427" ht="15.75" customHeight="1">
      <c r="A427" s="2"/>
      <c r="B427" s="2"/>
      <c r="C427" s="2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  <c r="P427" s="2"/>
      <c r="Q427" s="2"/>
      <c r="R427" s="2"/>
      <c r="S427" s="2"/>
      <c r="T427" s="2"/>
      <c r="U427" s="2"/>
      <c r="V427" s="2"/>
      <c r="W427" s="2"/>
      <c r="X427" s="2"/>
      <c r="Y427" s="2"/>
      <c r="Z427" s="2"/>
    </row>
    <row r="428" ht="15.75" customHeight="1">
      <c r="A428" s="2"/>
      <c r="B428" s="2"/>
      <c r="C428" s="2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  <c r="P428" s="2"/>
      <c r="Q428" s="2"/>
      <c r="R428" s="2"/>
      <c r="S428" s="2"/>
      <c r="T428" s="2"/>
      <c r="U428" s="2"/>
      <c r="V428" s="2"/>
      <c r="W428" s="2"/>
      <c r="X428" s="2"/>
      <c r="Y428" s="2"/>
      <c r="Z428" s="2"/>
    </row>
    <row r="429" ht="15.75" customHeight="1">
      <c r="A429" s="2"/>
      <c r="B429" s="2"/>
      <c r="C429" s="2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  <c r="P429" s="2"/>
      <c r="Q429" s="2"/>
      <c r="R429" s="2"/>
      <c r="S429" s="2"/>
      <c r="T429" s="2"/>
      <c r="U429" s="2"/>
      <c r="V429" s="2"/>
      <c r="W429" s="2"/>
      <c r="X429" s="2"/>
      <c r="Y429" s="2"/>
      <c r="Z429" s="2"/>
    </row>
    <row r="430" ht="15.75" customHeight="1">
      <c r="A430" s="2"/>
      <c r="B430" s="2"/>
      <c r="C430" s="2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  <c r="P430" s="2"/>
      <c r="Q430" s="2"/>
      <c r="R430" s="2"/>
      <c r="S430" s="2"/>
      <c r="T430" s="2"/>
      <c r="U430" s="2"/>
      <c r="V430" s="2"/>
      <c r="W430" s="2"/>
      <c r="X430" s="2"/>
      <c r="Y430" s="2"/>
      <c r="Z430" s="2"/>
    </row>
    <row r="431" ht="15.75" customHeight="1">
      <c r="A431" s="2"/>
      <c r="B431" s="2"/>
      <c r="C431" s="2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  <c r="P431" s="2"/>
      <c r="Q431" s="2"/>
      <c r="R431" s="2"/>
      <c r="S431" s="2"/>
      <c r="T431" s="2"/>
      <c r="U431" s="2"/>
      <c r="V431" s="2"/>
      <c r="W431" s="2"/>
      <c r="X431" s="2"/>
      <c r="Y431" s="2"/>
      <c r="Z431" s="2"/>
    </row>
    <row r="432" ht="15.75" customHeight="1">
      <c r="A432" s="2"/>
      <c r="B432" s="2"/>
      <c r="C432" s="2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  <c r="P432" s="2"/>
      <c r="Q432" s="2"/>
      <c r="R432" s="2"/>
      <c r="S432" s="2"/>
      <c r="T432" s="2"/>
      <c r="U432" s="2"/>
      <c r="V432" s="2"/>
      <c r="W432" s="2"/>
      <c r="X432" s="2"/>
      <c r="Y432" s="2"/>
      <c r="Z432" s="2"/>
    </row>
    <row r="433" ht="15.75" customHeight="1">
      <c r="A433" s="2"/>
      <c r="B433" s="2"/>
      <c r="C433" s="2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2"/>
      <c r="P433" s="2"/>
      <c r="Q433" s="2"/>
      <c r="R433" s="2"/>
      <c r="S433" s="2"/>
      <c r="T433" s="2"/>
      <c r="U433" s="2"/>
      <c r="V433" s="2"/>
      <c r="W433" s="2"/>
      <c r="X433" s="2"/>
      <c r="Y433" s="2"/>
      <c r="Z433" s="2"/>
    </row>
    <row r="434" ht="15.75" customHeight="1">
      <c r="A434" s="2"/>
      <c r="B434" s="2"/>
      <c r="C434" s="2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  <c r="P434" s="2"/>
      <c r="Q434" s="2"/>
      <c r="R434" s="2"/>
      <c r="S434" s="2"/>
      <c r="T434" s="2"/>
      <c r="U434" s="2"/>
      <c r="V434" s="2"/>
      <c r="W434" s="2"/>
      <c r="X434" s="2"/>
      <c r="Y434" s="2"/>
      <c r="Z434" s="2"/>
    </row>
    <row r="435" ht="15.75" customHeight="1">
      <c r="A435" s="2"/>
      <c r="B435" s="2"/>
      <c r="C435" s="2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  <c r="P435" s="2"/>
      <c r="Q435" s="2"/>
      <c r="R435" s="2"/>
      <c r="S435" s="2"/>
      <c r="T435" s="2"/>
      <c r="U435" s="2"/>
      <c r="V435" s="2"/>
      <c r="W435" s="2"/>
      <c r="X435" s="2"/>
      <c r="Y435" s="2"/>
      <c r="Z435" s="2"/>
    </row>
    <row r="436" ht="15.75" customHeight="1">
      <c r="A436" s="2"/>
      <c r="B436" s="2"/>
      <c r="C436" s="2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  <c r="P436" s="2"/>
      <c r="Q436" s="2"/>
      <c r="R436" s="2"/>
      <c r="S436" s="2"/>
      <c r="T436" s="2"/>
      <c r="U436" s="2"/>
      <c r="V436" s="2"/>
      <c r="W436" s="2"/>
      <c r="X436" s="2"/>
      <c r="Y436" s="2"/>
      <c r="Z436" s="2"/>
    </row>
    <row r="437" ht="15.75" customHeight="1">
      <c r="A437" s="2"/>
      <c r="B437" s="2"/>
      <c r="C437" s="2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  <c r="P437" s="2"/>
      <c r="Q437" s="2"/>
      <c r="R437" s="2"/>
      <c r="S437" s="2"/>
      <c r="T437" s="2"/>
      <c r="U437" s="2"/>
      <c r="V437" s="2"/>
      <c r="W437" s="2"/>
      <c r="X437" s="2"/>
      <c r="Y437" s="2"/>
      <c r="Z437" s="2"/>
    </row>
    <row r="438" ht="15.75" customHeight="1">
      <c r="A438" s="2"/>
      <c r="B438" s="2"/>
      <c r="C438" s="2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  <c r="P438" s="2"/>
      <c r="Q438" s="2"/>
      <c r="R438" s="2"/>
      <c r="S438" s="2"/>
      <c r="T438" s="2"/>
      <c r="U438" s="2"/>
      <c r="V438" s="2"/>
      <c r="W438" s="2"/>
      <c r="X438" s="2"/>
      <c r="Y438" s="2"/>
      <c r="Z438" s="2"/>
    </row>
    <row r="439" ht="15.75" customHeight="1">
      <c r="A439" s="2"/>
      <c r="B439" s="2"/>
      <c r="C439" s="2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  <c r="P439" s="2"/>
      <c r="Q439" s="2"/>
      <c r="R439" s="2"/>
      <c r="S439" s="2"/>
      <c r="T439" s="2"/>
      <c r="U439" s="2"/>
      <c r="V439" s="2"/>
      <c r="W439" s="2"/>
      <c r="X439" s="2"/>
      <c r="Y439" s="2"/>
      <c r="Z439" s="2"/>
    </row>
    <row r="440" ht="15.75" customHeight="1">
      <c r="A440" s="2"/>
      <c r="B440" s="2"/>
      <c r="C440" s="2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  <c r="P440" s="2"/>
      <c r="Q440" s="2"/>
      <c r="R440" s="2"/>
      <c r="S440" s="2"/>
      <c r="T440" s="2"/>
      <c r="U440" s="2"/>
      <c r="V440" s="2"/>
      <c r="W440" s="2"/>
      <c r="X440" s="2"/>
      <c r="Y440" s="2"/>
      <c r="Z440" s="2"/>
    </row>
    <row r="441" ht="15.75" customHeight="1">
      <c r="A441" s="2"/>
      <c r="B441" s="2"/>
      <c r="C441" s="2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  <c r="P441" s="2"/>
      <c r="Q441" s="2"/>
      <c r="R441" s="2"/>
      <c r="S441" s="2"/>
      <c r="T441" s="2"/>
      <c r="U441" s="2"/>
      <c r="V441" s="2"/>
      <c r="W441" s="2"/>
      <c r="X441" s="2"/>
      <c r="Y441" s="2"/>
      <c r="Z441" s="2"/>
    </row>
    <row r="442" ht="15.75" customHeight="1">
      <c r="A442" s="2"/>
      <c r="B442" s="2"/>
      <c r="C442" s="2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  <c r="P442" s="2"/>
      <c r="Q442" s="2"/>
      <c r="R442" s="2"/>
      <c r="S442" s="2"/>
      <c r="T442" s="2"/>
      <c r="U442" s="2"/>
      <c r="V442" s="2"/>
      <c r="W442" s="2"/>
      <c r="X442" s="2"/>
      <c r="Y442" s="2"/>
      <c r="Z442" s="2"/>
    </row>
    <row r="443" ht="15.75" customHeight="1">
      <c r="A443" s="2"/>
      <c r="B443" s="2"/>
      <c r="C443" s="2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  <c r="P443" s="2"/>
      <c r="Q443" s="2"/>
      <c r="R443" s="2"/>
      <c r="S443" s="2"/>
      <c r="T443" s="2"/>
      <c r="U443" s="2"/>
      <c r="V443" s="2"/>
      <c r="W443" s="2"/>
      <c r="X443" s="2"/>
      <c r="Y443" s="2"/>
      <c r="Z443" s="2"/>
    </row>
    <row r="444" ht="15.75" customHeight="1">
      <c r="A444" s="2"/>
      <c r="B444" s="2"/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  <c r="P444" s="2"/>
      <c r="Q444" s="2"/>
      <c r="R444" s="2"/>
      <c r="S444" s="2"/>
      <c r="T444" s="2"/>
      <c r="U444" s="2"/>
      <c r="V444" s="2"/>
      <c r="W444" s="2"/>
      <c r="X444" s="2"/>
      <c r="Y444" s="2"/>
      <c r="Z444" s="2"/>
    </row>
    <row r="445" ht="15.75" customHeight="1">
      <c r="A445" s="2"/>
      <c r="B445" s="2"/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  <c r="P445" s="2"/>
      <c r="Q445" s="2"/>
      <c r="R445" s="2"/>
      <c r="S445" s="2"/>
      <c r="T445" s="2"/>
      <c r="U445" s="2"/>
      <c r="V445" s="2"/>
      <c r="W445" s="2"/>
      <c r="X445" s="2"/>
      <c r="Y445" s="2"/>
      <c r="Z445" s="2"/>
    </row>
    <row r="446" ht="15.75" customHeight="1">
      <c r="A446" s="2"/>
      <c r="B446" s="2"/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  <c r="P446" s="2"/>
      <c r="Q446" s="2"/>
      <c r="R446" s="2"/>
      <c r="S446" s="2"/>
      <c r="T446" s="2"/>
      <c r="U446" s="2"/>
      <c r="V446" s="2"/>
      <c r="W446" s="2"/>
      <c r="X446" s="2"/>
      <c r="Y446" s="2"/>
      <c r="Z446" s="2"/>
    </row>
    <row r="447" ht="15.75" customHeight="1">
      <c r="A447" s="2"/>
      <c r="B447" s="2"/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  <c r="P447" s="2"/>
      <c r="Q447" s="2"/>
      <c r="R447" s="2"/>
      <c r="S447" s="2"/>
      <c r="T447" s="2"/>
      <c r="U447" s="2"/>
      <c r="V447" s="2"/>
      <c r="W447" s="2"/>
      <c r="X447" s="2"/>
      <c r="Y447" s="2"/>
      <c r="Z447" s="2"/>
    </row>
    <row r="448" ht="15.75" customHeight="1">
      <c r="A448" s="2"/>
      <c r="B448" s="2"/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  <c r="P448" s="2"/>
      <c r="Q448" s="2"/>
      <c r="R448" s="2"/>
      <c r="S448" s="2"/>
      <c r="T448" s="2"/>
      <c r="U448" s="2"/>
      <c r="V448" s="2"/>
      <c r="W448" s="2"/>
      <c r="X448" s="2"/>
      <c r="Y448" s="2"/>
      <c r="Z448" s="2"/>
    </row>
    <row r="449" ht="15.75" customHeight="1">
      <c r="A449" s="2"/>
      <c r="B449" s="2"/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  <c r="P449" s="2"/>
      <c r="Q449" s="2"/>
      <c r="R449" s="2"/>
      <c r="S449" s="2"/>
      <c r="T449" s="2"/>
      <c r="U449" s="2"/>
      <c r="V449" s="2"/>
      <c r="W449" s="2"/>
      <c r="X449" s="2"/>
      <c r="Y449" s="2"/>
      <c r="Z449" s="2"/>
    </row>
    <row r="450" ht="15.75" customHeight="1">
      <c r="A450" s="2"/>
      <c r="B450" s="2"/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  <c r="P450" s="2"/>
      <c r="Q450" s="2"/>
      <c r="R450" s="2"/>
      <c r="S450" s="2"/>
      <c r="T450" s="2"/>
      <c r="U450" s="2"/>
      <c r="V450" s="2"/>
      <c r="W450" s="2"/>
      <c r="X450" s="2"/>
      <c r="Y450" s="2"/>
      <c r="Z450" s="2"/>
    </row>
    <row r="451" ht="15.75" customHeight="1">
      <c r="A451" s="2"/>
      <c r="B451" s="2"/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  <c r="P451" s="2"/>
      <c r="Q451" s="2"/>
      <c r="R451" s="2"/>
      <c r="S451" s="2"/>
      <c r="T451" s="2"/>
      <c r="U451" s="2"/>
      <c r="V451" s="2"/>
      <c r="W451" s="2"/>
      <c r="X451" s="2"/>
      <c r="Y451" s="2"/>
      <c r="Z451" s="2"/>
    </row>
    <row r="452" ht="15.75" customHeight="1">
      <c r="A452" s="2"/>
      <c r="B452" s="2"/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  <c r="P452" s="2"/>
      <c r="Q452" s="2"/>
      <c r="R452" s="2"/>
      <c r="S452" s="2"/>
      <c r="T452" s="2"/>
      <c r="U452" s="2"/>
      <c r="V452" s="2"/>
      <c r="W452" s="2"/>
      <c r="X452" s="2"/>
      <c r="Y452" s="2"/>
      <c r="Z452" s="2"/>
    </row>
    <row r="453" ht="15.75" customHeight="1">
      <c r="A453" s="2"/>
      <c r="B453" s="2"/>
      <c r="C453" s="2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  <c r="P453" s="2"/>
      <c r="Q453" s="2"/>
      <c r="R453" s="2"/>
      <c r="S453" s="2"/>
      <c r="T453" s="2"/>
      <c r="U453" s="2"/>
      <c r="V453" s="2"/>
      <c r="W453" s="2"/>
      <c r="X453" s="2"/>
      <c r="Y453" s="2"/>
      <c r="Z453" s="2"/>
    </row>
    <row r="454" ht="15.75" customHeight="1">
      <c r="A454" s="2"/>
      <c r="B454" s="2"/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  <c r="P454" s="2"/>
      <c r="Q454" s="2"/>
      <c r="R454" s="2"/>
      <c r="S454" s="2"/>
      <c r="T454" s="2"/>
      <c r="U454" s="2"/>
      <c r="V454" s="2"/>
      <c r="W454" s="2"/>
      <c r="X454" s="2"/>
      <c r="Y454" s="2"/>
      <c r="Z454" s="2"/>
    </row>
    <row r="455" ht="15.75" customHeight="1">
      <c r="A455" s="2"/>
      <c r="B455" s="2"/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  <c r="P455" s="2"/>
      <c r="Q455" s="2"/>
      <c r="R455" s="2"/>
      <c r="S455" s="2"/>
      <c r="T455" s="2"/>
      <c r="U455" s="2"/>
      <c r="V455" s="2"/>
      <c r="W455" s="2"/>
      <c r="X455" s="2"/>
      <c r="Y455" s="2"/>
      <c r="Z455" s="2"/>
    </row>
    <row r="456" ht="15.75" customHeight="1">
      <c r="A456" s="2"/>
      <c r="B456" s="2"/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  <c r="P456" s="2"/>
      <c r="Q456" s="2"/>
      <c r="R456" s="2"/>
      <c r="S456" s="2"/>
      <c r="T456" s="2"/>
      <c r="U456" s="2"/>
      <c r="V456" s="2"/>
      <c r="W456" s="2"/>
      <c r="X456" s="2"/>
      <c r="Y456" s="2"/>
      <c r="Z456" s="2"/>
    </row>
    <row r="457" ht="15.75" customHeight="1">
      <c r="A457" s="2"/>
      <c r="B457" s="2"/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  <c r="P457" s="2"/>
      <c r="Q457" s="2"/>
      <c r="R457" s="2"/>
      <c r="S457" s="2"/>
      <c r="T457" s="2"/>
      <c r="U457" s="2"/>
      <c r="V457" s="2"/>
      <c r="W457" s="2"/>
      <c r="X457" s="2"/>
      <c r="Y457" s="2"/>
      <c r="Z457" s="2"/>
    </row>
    <row r="458" ht="15.75" customHeight="1">
      <c r="A458" s="2"/>
      <c r="B458" s="2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  <c r="P458" s="2"/>
      <c r="Q458" s="2"/>
      <c r="R458" s="2"/>
      <c r="S458" s="2"/>
      <c r="T458" s="2"/>
      <c r="U458" s="2"/>
      <c r="V458" s="2"/>
      <c r="W458" s="2"/>
      <c r="X458" s="2"/>
      <c r="Y458" s="2"/>
      <c r="Z458" s="2"/>
    </row>
    <row r="459" ht="15.75" customHeight="1">
      <c r="A459" s="2"/>
      <c r="B459" s="2"/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  <c r="P459" s="2"/>
      <c r="Q459" s="2"/>
      <c r="R459" s="2"/>
      <c r="S459" s="2"/>
      <c r="T459" s="2"/>
      <c r="U459" s="2"/>
      <c r="V459" s="2"/>
      <c r="W459" s="2"/>
      <c r="X459" s="2"/>
      <c r="Y459" s="2"/>
      <c r="Z459" s="2"/>
    </row>
    <row r="460" ht="15.75" customHeight="1">
      <c r="A460" s="2"/>
      <c r="B460" s="2"/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2"/>
      <c r="P460" s="2"/>
      <c r="Q460" s="2"/>
      <c r="R460" s="2"/>
      <c r="S460" s="2"/>
      <c r="T460" s="2"/>
      <c r="U460" s="2"/>
      <c r="V460" s="2"/>
      <c r="W460" s="2"/>
      <c r="X460" s="2"/>
      <c r="Y460" s="2"/>
      <c r="Z460" s="2"/>
    </row>
    <row r="461" ht="15.75" customHeight="1">
      <c r="A461" s="2"/>
      <c r="B461" s="2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  <c r="P461" s="2"/>
      <c r="Q461" s="2"/>
      <c r="R461" s="2"/>
      <c r="S461" s="2"/>
      <c r="T461" s="2"/>
      <c r="U461" s="2"/>
      <c r="V461" s="2"/>
      <c r="W461" s="2"/>
      <c r="X461" s="2"/>
      <c r="Y461" s="2"/>
      <c r="Z461" s="2"/>
    </row>
    <row r="462" ht="15.75" customHeight="1">
      <c r="A462" s="2"/>
      <c r="B462" s="2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  <c r="P462" s="2"/>
      <c r="Q462" s="2"/>
      <c r="R462" s="2"/>
      <c r="S462" s="2"/>
      <c r="T462" s="2"/>
      <c r="U462" s="2"/>
      <c r="V462" s="2"/>
      <c r="W462" s="2"/>
      <c r="X462" s="2"/>
      <c r="Y462" s="2"/>
      <c r="Z462" s="2"/>
    </row>
    <row r="463" ht="15.75" customHeight="1">
      <c r="A463" s="2"/>
      <c r="B463" s="2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  <c r="P463" s="2"/>
      <c r="Q463" s="2"/>
      <c r="R463" s="2"/>
      <c r="S463" s="2"/>
      <c r="T463" s="2"/>
      <c r="U463" s="2"/>
      <c r="V463" s="2"/>
      <c r="W463" s="2"/>
      <c r="X463" s="2"/>
      <c r="Y463" s="2"/>
      <c r="Z463" s="2"/>
    </row>
    <row r="464" ht="15.75" customHeight="1">
      <c r="A464" s="2"/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  <c r="P464" s="2"/>
      <c r="Q464" s="2"/>
      <c r="R464" s="2"/>
      <c r="S464" s="2"/>
      <c r="T464" s="2"/>
      <c r="U464" s="2"/>
      <c r="V464" s="2"/>
      <c r="W464" s="2"/>
      <c r="X464" s="2"/>
      <c r="Y464" s="2"/>
      <c r="Z464" s="2"/>
    </row>
    <row r="465" ht="15.75" customHeight="1">
      <c r="A465" s="2"/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2"/>
      <c r="P465" s="2"/>
      <c r="Q465" s="2"/>
      <c r="R465" s="2"/>
      <c r="S465" s="2"/>
      <c r="T465" s="2"/>
      <c r="U465" s="2"/>
      <c r="V465" s="2"/>
      <c r="W465" s="2"/>
      <c r="X465" s="2"/>
      <c r="Y465" s="2"/>
      <c r="Z465" s="2"/>
    </row>
    <row r="466" ht="15.75" customHeight="1">
      <c r="A466" s="2"/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  <c r="P466" s="2"/>
      <c r="Q466" s="2"/>
      <c r="R466" s="2"/>
      <c r="S466" s="2"/>
      <c r="T466" s="2"/>
      <c r="U466" s="2"/>
      <c r="V466" s="2"/>
      <c r="W466" s="2"/>
      <c r="X466" s="2"/>
      <c r="Y466" s="2"/>
      <c r="Z466" s="2"/>
    </row>
    <row r="467" ht="15.75" customHeight="1">
      <c r="A467" s="2"/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  <c r="P467" s="2"/>
      <c r="Q467" s="2"/>
      <c r="R467" s="2"/>
      <c r="S467" s="2"/>
      <c r="T467" s="2"/>
      <c r="U467" s="2"/>
      <c r="V467" s="2"/>
      <c r="W467" s="2"/>
      <c r="X467" s="2"/>
      <c r="Y467" s="2"/>
      <c r="Z467" s="2"/>
    </row>
    <row r="468" ht="15.75" customHeight="1">
      <c r="A468" s="2"/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  <c r="P468" s="2"/>
      <c r="Q468" s="2"/>
      <c r="R468" s="2"/>
      <c r="S468" s="2"/>
      <c r="T468" s="2"/>
      <c r="U468" s="2"/>
      <c r="V468" s="2"/>
      <c r="W468" s="2"/>
      <c r="X468" s="2"/>
      <c r="Y468" s="2"/>
      <c r="Z468" s="2"/>
    </row>
    <row r="469" ht="15.75" customHeight="1">
      <c r="A469" s="2"/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  <c r="P469" s="2"/>
      <c r="Q469" s="2"/>
      <c r="R469" s="2"/>
      <c r="S469" s="2"/>
      <c r="T469" s="2"/>
      <c r="U469" s="2"/>
      <c r="V469" s="2"/>
      <c r="W469" s="2"/>
      <c r="X469" s="2"/>
      <c r="Y469" s="2"/>
      <c r="Z469" s="2"/>
    </row>
    <row r="470" ht="15.75" customHeight="1">
      <c r="A470" s="2"/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  <c r="P470" s="2"/>
      <c r="Q470" s="2"/>
      <c r="R470" s="2"/>
      <c r="S470" s="2"/>
      <c r="T470" s="2"/>
      <c r="U470" s="2"/>
      <c r="V470" s="2"/>
      <c r="W470" s="2"/>
      <c r="X470" s="2"/>
      <c r="Y470" s="2"/>
      <c r="Z470" s="2"/>
    </row>
    <row r="471" ht="15.75" customHeight="1">
      <c r="A471" s="2"/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  <c r="P471" s="2"/>
      <c r="Q471" s="2"/>
      <c r="R471" s="2"/>
      <c r="S471" s="2"/>
      <c r="T471" s="2"/>
      <c r="U471" s="2"/>
      <c r="V471" s="2"/>
      <c r="W471" s="2"/>
      <c r="X471" s="2"/>
      <c r="Y471" s="2"/>
      <c r="Z471" s="2"/>
    </row>
    <row r="472" ht="15.75" customHeight="1">
      <c r="A472" s="2"/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2"/>
      <c r="P472" s="2"/>
      <c r="Q472" s="2"/>
      <c r="R472" s="2"/>
      <c r="S472" s="2"/>
      <c r="T472" s="2"/>
      <c r="U472" s="2"/>
      <c r="V472" s="2"/>
      <c r="W472" s="2"/>
      <c r="X472" s="2"/>
      <c r="Y472" s="2"/>
      <c r="Z472" s="2"/>
    </row>
    <row r="473" ht="15.75" customHeight="1">
      <c r="A473" s="2"/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2"/>
      <c r="P473" s="2"/>
      <c r="Q473" s="2"/>
      <c r="R473" s="2"/>
      <c r="S473" s="2"/>
      <c r="T473" s="2"/>
      <c r="U473" s="2"/>
      <c r="V473" s="2"/>
      <c r="W473" s="2"/>
      <c r="X473" s="2"/>
      <c r="Y473" s="2"/>
      <c r="Z473" s="2"/>
    </row>
    <row r="474" ht="15.75" customHeight="1">
      <c r="A474" s="2"/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  <c r="P474" s="2"/>
      <c r="Q474" s="2"/>
      <c r="R474" s="2"/>
      <c r="S474" s="2"/>
      <c r="T474" s="2"/>
      <c r="U474" s="2"/>
      <c r="V474" s="2"/>
      <c r="W474" s="2"/>
      <c r="X474" s="2"/>
      <c r="Y474" s="2"/>
      <c r="Z474" s="2"/>
    </row>
    <row r="475" ht="15.75" customHeight="1">
      <c r="A475" s="2"/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  <c r="P475" s="2"/>
      <c r="Q475" s="2"/>
      <c r="R475" s="2"/>
      <c r="S475" s="2"/>
      <c r="T475" s="2"/>
      <c r="U475" s="2"/>
      <c r="V475" s="2"/>
      <c r="W475" s="2"/>
      <c r="X475" s="2"/>
      <c r="Y475" s="2"/>
      <c r="Z475" s="2"/>
    </row>
    <row r="476" ht="15.75" customHeight="1">
      <c r="A476" s="2"/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 s="2"/>
      <c r="O476" s="2"/>
      <c r="P476" s="2"/>
      <c r="Q476" s="2"/>
      <c r="R476" s="2"/>
      <c r="S476" s="2"/>
      <c r="T476" s="2"/>
      <c r="U476" s="2"/>
      <c r="V476" s="2"/>
      <c r="W476" s="2"/>
      <c r="X476" s="2"/>
      <c r="Y476" s="2"/>
      <c r="Z476" s="2"/>
    </row>
    <row r="477" ht="15.75" customHeight="1">
      <c r="A477" s="2"/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2"/>
      <c r="P477" s="2"/>
      <c r="Q477" s="2"/>
      <c r="R477" s="2"/>
      <c r="S477" s="2"/>
      <c r="T477" s="2"/>
      <c r="U477" s="2"/>
      <c r="V477" s="2"/>
      <c r="W477" s="2"/>
      <c r="X477" s="2"/>
      <c r="Y477" s="2"/>
      <c r="Z477" s="2"/>
    </row>
    <row r="478" ht="15.75" customHeight="1">
      <c r="A478" s="2"/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2"/>
      <c r="P478" s="2"/>
      <c r="Q478" s="2"/>
      <c r="R478" s="2"/>
      <c r="S478" s="2"/>
      <c r="T478" s="2"/>
      <c r="U478" s="2"/>
      <c r="V478" s="2"/>
      <c r="W478" s="2"/>
      <c r="X478" s="2"/>
      <c r="Y478" s="2"/>
      <c r="Z478" s="2"/>
    </row>
    <row r="479" ht="15.75" customHeight="1">
      <c r="A479" s="2"/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  <c r="P479" s="2"/>
      <c r="Q479" s="2"/>
      <c r="R479" s="2"/>
      <c r="S479" s="2"/>
      <c r="T479" s="2"/>
      <c r="U479" s="2"/>
      <c r="V479" s="2"/>
      <c r="W479" s="2"/>
      <c r="X479" s="2"/>
      <c r="Y479" s="2"/>
      <c r="Z479" s="2"/>
    </row>
    <row r="480" ht="15.75" customHeight="1">
      <c r="A480" s="2"/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  <c r="P480" s="2"/>
      <c r="Q480" s="2"/>
      <c r="R480" s="2"/>
      <c r="S480" s="2"/>
      <c r="T480" s="2"/>
      <c r="U480" s="2"/>
      <c r="V480" s="2"/>
      <c r="W480" s="2"/>
      <c r="X480" s="2"/>
      <c r="Y480" s="2"/>
      <c r="Z480" s="2"/>
    </row>
    <row r="481" ht="15.75" customHeight="1">
      <c r="A481" s="2"/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  <c r="P481" s="2"/>
      <c r="Q481" s="2"/>
      <c r="R481" s="2"/>
      <c r="S481" s="2"/>
      <c r="T481" s="2"/>
      <c r="U481" s="2"/>
      <c r="V481" s="2"/>
      <c r="W481" s="2"/>
      <c r="X481" s="2"/>
      <c r="Y481" s="2"/>
      <c r="Z481" s="2"/>
    </row>
    <row r="482" ht="15.75" customHeight="1">
      <c r="A482" s="2"/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  <c r="P482" s="2"/>
      <c r="Q482" s="2"/>
      <c r="R482" s="2"/>
      <c r="S482" s="2"/>
      <c r="T482" s="2"/>
      <c r="U482" s="2"/>
      <c r="V482" s="2"/>
      <c r="W482" s="2"/>
      <c r="X482" s="2"/>
      <c r="Y482" s="2"/>
      <c r="Z482" s="2"/>
    </row>
    <row r="483" ht="15.75" customHeight="1">
      <c r="A483" s="2"/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2"/>
      <c r="P483" s="2"/>
      <c r="Q483" s="2"/>
      <c r="R483" s="2"/>
      <c r="S483" s="2"/>
      <c r="T483" s="2"/>
      <c r="U483" s="2"/>
      <c r="V483" s="2"/>
      <c r="W483" s="2"/>
      <c r="X483" s="2"/>
      <c r="Y483" s="2"/>
      <c r="Z483" s="2"/>
    </row>
    <row r="484" ht="15.75" customHeight="1">
      <c r="A484" s="2"/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  <c r="P484" s="2"/>
      <c r="Q484" s="2"/>
      <c r="R484" s="2"/>
      <c r="S484" s="2"/>
      <c r="T484" s="2"/>
      <c r="U484" s="2"/>
      <c r="V484" s="2"/>
      <c r="W484" s="2"/>
      <c r="X484" s="2"/>
      <c r="Y484" s="2"/>
      <c r="Z484" s="2"/>
    </row>
    <row r="485" ht="15.75" customHeight="1">
      <c r="A485" s="2"/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2"/>
      <c r="P485" s="2"/>
      <c r="Q485" s="2"/>
      <c r="R485" s="2"/>
      <c r="S485" s="2"/>
      <c r="T485" s="2"/>
      <c r="U485" s="2"/>
      <c r="V485" s="2"/>
      <c r="W485" s="2"/>
      <c r="X485" s="2"/>
      <c r="Y485" s="2"/>
      <c r="Z485" s="2"/>
    </row>
    <row r="486" ht="15.75" customHeight="1">
      <c r="A486" s="2"/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2"/>
      <c r="P486" s="2"/>
      <c r="Q486" s="2"/>
      <c r="R486" s="2"/>
      <c r="S486" s="2"/>
      <c r="T486" s="2"/>
      <c r="U486" s="2"/>
      <c r="V486" s="2"/>
      <c r="W486" s="2"/>
      <c r="X486" s="2"/>
      <c r="Y486" s="2"/>
      <c r="Z486" s="2"/>
    </row>
    <row r="487" ht="15.75" customHeight="1">
      <c r="A487" s="2"/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/>
      <c r="P487" s="2"/>
      <c r="Q487" s="2"/>
      <c r="R487" s="2"/>
      <c r="S487" s="2"/>
      <c r="T487" s="2"/>
      <c r="U487" s="2"/>
      <c r="V487" s="2"/>
      <c r="W487" s="2"/>
      <c r="X487" s="2"/>
      <c r="Y487" s="2"/>
      <c r="Z487" s="2"/>
    </row>
    <row r="488" ht="15.75" customHeight="1">
      <c r="A488" s="2"/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/>
      <c r="P488" s="2"/>
      <c r="Q488" s="2"/>
      <c r="R488" s="2"/>
      <c r="S488" s="2"/>
      <c r="T488" s="2"/>
      <c r="U488" s="2"/>
      <c r="V488" s="2"/>
      <c r="W488" s="2"/>
      <c r="X488" s="2"/>
      <c r="Y488" s="2"/>
      <c r="Z488" s="2"/>
    </row>
    <row r="489" ht="15.75" customHeight="1">
      <c r="A489" s="2"/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  <c r="P489" s="2"/>
      <c r="Q489" s="2"/>
      <c r="R489" s="2"/>
      <c r="S489" s="2"/>
      <c r="T489" s="2"/>
      <c r="U489" s="2"/>
      <c r="V489" s="2"/>
      <c r="W489" s="2"/>
      <c r="X489" s="2"/>
      <c r="Y489" s="2"/>
      <c r="Z489" s="2"/>
    </row>
    <row r="490" ht="15.75" customHeight="1">
      <c r="A490" s="2"/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2"/>
      <c r="P490" s="2"/>
      <c r="Q490" s="2"/>
      <c r="R490" s="2"/>
      <c r="S490" s="2"/>
      <c r="T490" s="2"/>
      <c r="U490" s="2"/>
      <c r="V490" s="2"/>
      <c r="W490" s="2"/>
      <c r="X490" s="2"/>
      <c r="Y490" s="2"/>
      <c r="Z490" s="2"/>
    </row>
    <row r="491" ht="15.75" customHeight="1">
      <c r="A491" s="2"/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  <c r="P491" s="2"/>
      <c r="Q491" s="2"/>
      <c r="R491" s="2"/>
      <c r="S491" s="2"/>
      <c r="T491" s="2"/>
      <c r="U491" s="2"/>
      <c r="V491" s="2"/>
      <c r="W491" s="2"/>
      <c r="X491" s="2"/>
      <c r="Y491" s="2"/>
      <c r="Z491" s="2"/>
    </row>
    <row r="492" ht="15.75" customHeight="1">
      <c r="A492" s="2"/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2"/>
      <c r="P492" s="2"/>
      <c r="Q492" s="2"/>
      <c r="R492" s="2"/>
      <c r="S492" s="2"/>
      <c r="T492" s="2"/>
      <c r="U492" s="2"/>
      <c r="V492" s="2"/>
      <c r="W492" s="2"/>
      <c r="X492" s="2"/>
      <c r="Y492" s="2"/>
      <c r="Z492" s="2"/>
    </row>
    <row r="493" ht="15.75" customHeight="1">
      <c r="A493" s="2"/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2"/>
      <c r="P493" s="2"/>
      <c r="Q493" s="2"/>
      <c r="R493" s="2"/>
      <c r="S493" s="2"/>
      <c r="T493" s="2"/>
      <c r="U493" s="2"/>
      <c r="V493" s="2"/>
      <c r="W493" s="2"/>
      <c r="X493" s="2"/>
      <c r="Y493" s="2"/>
      <c r="Z493" s="2"/>
    </row>
    <row r="494" ht="15.75" customHeight="1">
      <c r="A494" s="2"/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  <c r="P494" s="2"/>
      <c r="Q494" s="2"/>
      <c r="R494" s="2"/>
      <c r="S494" s="2"/>
      <c r="T494" s="2"/>
      <c r="U494" s="2"/>
      <c r="V494" s="2"/>
      <c r="W494" s="2"/>
      <c r="X494" s="2"/>
      <c r="Y494" s="2"/>
      <c r="Z494" s="2"/>
    </row>
    <row r="495" ht="15.75" customHeight="1">
      <c r="A495" s="2"/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  <c r="P495" s="2"/>
      <c r="Q495" s="2"/>
      <c r="R495" s="2"/>
      <c r="S495" s="2"/>
      <c r="T495" s="2"/>
      <c r="U495" s="2"/>
      <c r="V495" s="2"/>
      <c r="W495" s="2"/>
      <c r="X495" s="2"/>
      <c r="Y495" s="2"/>
      <c r="Z495" s="2"/>
    </row>
    <row r="496" ht="15.75" customHeight="1">
      <c r="A496" s="2"/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2"/>
      <c r="P496" s="2"/>
      <c r="Q496" s="2"/>
      <c r="R496" s="2"/>
      <c r="S496" s="2"/>
      <c r="T496" s="2"/>
      <c r="U496" s="2"/>
      <c r="V496" s="2"/>
      <c r="W496" s="2"/>
      <c r="X496" s="2"/>
      <c r="Y496" s="2"/>
      <c r="Z496" s="2"/>
    </row>
    <row r="497" ht="15.75" customHeight="1">
      <c r="A497" s="2"/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2"/>
      <c r="O497" s="2"/>
      <c r="P497" s="2"/>
      <c r="Q497" s="2"/>
      <c r="R497" s="2"/>
      <c r="S497" s="2"/>
      <c r="T497" s="2"/>
      <c r="U497" s="2"/>
      <c r="V497" s="2"/>
      <c r="W497" s="2"/>
      <c r="X497" s="2"/>
      <c r="Y497" s="2"/>
      <c r="Z497" s="2"/>
    </row>
    <row r="498" ht="15.75" customHeight="1">
      <c r="A498" s="2"/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  <c r="P498" s="2"/>
      <c r="Q498" s="2"/>
      <c r="R498" s="2"/>
      <c r="S498" s="2"/>
      <c r="T498" s="2"/>
      <c r="U498" s="2"/>
      <c r="V498" s="2"/>
      <c r="W498" s="2"/>
      <c r="X498" s="2"/>
      <c r="Y498" s="2"/>
      <c r="Z498" s="2"/>
    </row>
    <row r="499" ht="15.75" customHeight="1">
      <c r="A499" s="2"/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  <c r="P499" s="2"/>
      <c r="Q499" s="2"/>
      <c r="R499" s="2"/>
      <c r="S499" s="2"/>
      <c r="T499" s="2"/>
      <c r="U499" s="2"/>
      <c r="V499" s="2"/>
      <c r="W499" s="2"/>
      <c r="X499" s="2"/>
      <c r="Y499" s="2"/>
      <c r="Z499" s="2"/>
    </row>
    <row r="500" ht="15.75" customHeight="1">
      <c r="A500" s="2"/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  <c r="P500" s="2"/>
      <c r="Q500" s="2"/>
      <c r="R500" s="2"/>
      <c r="S500" s="2"/>
      <c r="T500" s="2"/>
      <c r="U500" s="2"/>
      <c r="V500" s="2"/>
      <c r="W500" s="2"/>
      <c r="X500" s="2"/>
      <c r="Y500" s="2"/>
      <c r="Z500" s="2"/>
    </row>
    <row r="501" ht="15.75" customHeight="1">
      <c r="A501" s="2"/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 s="2"/>
      <c r="O501" s="2"/>
      <c r="P501" s="2"/>
      <c r="Q501" s="2"/>
      <c r="R501" s="2"/>
      <c r="S501" s="2"/>
      <c r="T501" s="2"/>
      <c r="U501" s="2"/>
      <c r="V501" s="2"/>
      <c r="W501" s="2"/>
      <c r="X501" s="2"/>
      <c r="Y501" s="2"/>
      <c r="Z501" s="2"/>
    </row>
    <row r="502" ht="15.75" customHeight="1">
      <c r="A502" s="2"/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 s="2"/>
      <c r="O502" s="2"/>
      <c r="P502" s="2"/>
      <c r="Q502" s="2"/>
      <c r="R502" s="2"/>
      <c r="S502" s="2"/>
      <c r="T502" s="2"/>
      <c r="U502" s="2"/>
      <c r="V502" s="2"/>
      <c r="W502" s="2"/>
      <c r="X502" s="2"/>
      <c r="Y502" s="2"/>
      <c r="Z502" s="2"/>
    </row>
    <row r="503" ht="15.75" customHeight="1">
      <c r="A503" s="2"/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 s="2"/>
      <c r="O503" s="2"/>
      <c r="P503" s="2"/>
      <c r="Q503" s="2"/>
      <c r="R503" s="2"/>
      <c r="S503" s="2"/>
      <c r="T503" s="2"/>
      <c r="U503" s="2"/>
      <c r="V503" s="2"/>
      <c r="W503" s="2"/>
      <c r="X503" s="2"/>
      <c r="Y503" s="2"/>
      <c r="Z503" s="2"/>
    </row>
    <row r="504" ht="15.75" customHeight="1">
      <c r="A504" s="2"/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 s="2"/>
      <c r="O504" s="2"/>
      <c r="P504" s="2"/>
      <c r="Q504" s="2"/>
      <c r="R504" s="2"/>
      <c r="S504" s="2"/>
      <c r="T504" s="2"/>
      <c r="U504" s="2"/>
      <c r="V504" s="2"/>
      <c r="W504" s="2"/>
      <c r="X504" s="2"/>
      <c r="Y504" s="2"/>
      <c r="Z504" s="2"/>
    </row>
    <row r="505" ht="15.75" customHeight="1">
      <c r="A505" s="2"/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 s="2"/>
      <c r="O505" s="2"/>
      <c r="P505" s="2"/>
      <c r="Q505" s="2"/>
      <c r="R505" s="2"/>
      <c r="S505" s="2"/>
      <c r="T505" s="2"/>
      <c r="U505" s="2"/>
      <c r="V505" s="2"/>
      <c r="W505" s="2"/>
      <c r="X505" s="2"/>
      <c r="Y505" s="2"/>
      <c r="Z505" s="2"/>
    </row>
    <row r="506" ht="15.75" customHeight="1">
      <c r="A506" s="2"/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 s="2"/>
      <c r="O506" s="2"/>
      <c r="P506" s="2"/>
      <c r="Q506" s="2"/>
      <c r="R506" s="2"/>
      <c r="S506" s="2"/>
      <c r="T506" s="2"/>
      <c r="U506" s="2"/>
      <c r="V506" s="2"/>
      <c r="W506" s="2"/>
      <c r="X506" s="2"/>
      <c r="Y506" s="2"/>
      <c r="Z506" s="2"/>
    </row>
    <row r="507" ht="15.75" customHeight="1">
      <c r="A507" s="2"/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 s="2"/>
      <c r="O507" s="2"/>
      <c r="P507" s="2"/>
      <c r="Q507" s="2"/>
      <c r="R507" s="2"/>
      <c r="S507" s="2"/>
      <c r="T507" s="2"/>
      <c r="U507" s="2"/>
      <c r="V507" s="2"/>
      <c r="W507" s="2"/>
      <c r="X507" s="2"/>
      <c r="Y507" s="2"/>
      <c r="Z507" s="2"/>
    </row>
    <row r="508" ht="15.75" customHeight="1">
      <c r="A508" s="2"/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 s="2"/>
      <c r="O508" s="2"/>
      <c r="P508" s="2"/>
      <c r="Q508" s="2"/>
      <c r="R508" s="2"/>
      <c r="S508" s="2"/>
      <c r="T508" s="2"/>
      <c r="U508" s="2"/>
      <c r="V508" s="2"/>
      <c r="W508" s="2"/>
      <c r="X508" s="2"/>
      <c r="Y508" s="2"/>
      <c r="Z508" s="2"/>
    </row>
    <row r="509" ht="15.75" customHeight="1">
      <c r="A509" s="2"/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 s="2"/>
      <c r="O509" s="2"/>
      <c r="P509" s="2"/>
      <c r="Q509" s="2"/>
      <c r="R509" s="2"/>
      <c r="S509" s="2"/>
      <c r="T509" s="2"/>
      <c r="U509" s="2"/>
      <c r="V509" s="2"/>
      <c r="W509" s="2"/>
      <c r="X509" s="2"/>
      <c r="Y509" s="2"/>
      <c r="Z509" s="2"/>
    </row>
    <row r="510" ht="15.75" customHeight="1">
      <c r="A510" s="2"/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 s="2"/>
      <c r="O510" s="2"/>
      <c r="P510" s="2"/>
      <c r="Q510" s="2"/>
      <c r="R510" s="2"/>
      <c r="S510" s="2"/>
      <c r="T510" s="2"/>
      <c r="U510" s="2"/>
      <c r="V510" s="2"/>
      <c r="W510" s="2"/>
      <c r="X510" s="2"/>
      <c r="Y510" s="2"/>
      <c r="Z510" s="2"/>
    </row>
    <row r="511" ht="15.75" customHeight="1">
      <c r="A511" s="2"/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 s="2"/>
      <c r="O511" s="2"/>
      <c r="P511" s="2"/>
      <c r="Q511" s="2"/>
      <c r="R511" s="2"/>
      <c r="S511" s="2"/>
      <c r="T511" s="2"/>
      <c r="U511" s="2"/>
      <c r="V511" s="2"/>
      <c r="W511" s="2"/>
      <c r="X511" s="2"/>
      <c r="Y511" s="2"/>
      <c r="Z511" s="2"/>
    </row>
    <row r="512" ht="15.75" customHeight="1">
      <c r="A512" s="2"/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 s="2"/>
      <c r="O512" s="2"/>
      <c r="P512" s="2"/>
      <c r="Q512" s="2"/>
      <c r="R512" s="2"/>
      <c r="S512" s="2"/>
      <c r="T512" s="2"/>
      <c r="U512" s="2"/>
      <c r="V512" s="2"/>
      <c r="W512" s="2"/>
      <c r="X512" s="2"/>
      <c r="Y512" s="2"/>
      <c r="Z512" s="2"/>
    </row>
    <row r="513" ht="15.75" customHeight="1">
      <c r="A513" s="2"/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 s="2"/>
      <c r="O513" s="2"/>
      <c r="P513" s="2"/>
      <c r="Q513" s="2"/>
      <c r="R513" s="2"/>
      <c r="S513" s="2"/>
      <c r="T513" s="2"/>
      <c r="U513" s="2"/>
      <c r="V513" s="2"/>
      <c r="W513" s="2"/>
      <c r="X513" s="2"/>
      <c r="Y513" s="2"/>
      <c r="Z513" s="2"/>
    </row>
    <row r="514" ht="15.75" customHeight="1">
      <c r="A514" s="2"/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 s="2"/>
      <c r="O514" s="2"/>
      <c r="P514" s="2"/>
      <c r="Q514" s="2"/>
      <c r="R514" s="2"/>
      <c r="S514" s="2"/>
      <c r="T514" s="2"/>
      <c r="U514" s="2"/>
      <c r="V514" s="2"/>
      <c r="W514" s="2"/>
      <c r="X514" s="2"/>
      <c r="Y514" s="2"/>
      <c r="Z514" s="2"/>
    </row>
    <row r="515" ht="15.75" customHeight="1">
      <c r="A515" s="2"/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 s="2"/>
      <c r="O515" s="2"/>
      <c r="P515" s="2"/>
      <c r="Q515" s="2"/>
      <c r="R515" s="2"/>
      <c r="S515" s="2"/>
      <c r="T515" s="2"/>
      <c r="U515" s="2"/>
      <c r="V515" s="2"/>
      <c r="W515" s="2"/>
      <c r="X515" s="2"/>
      <c r="Y515" s="2"/>
      <c r="Z515" s="2"/>
    </row>
    <row r="516" ht="15.75" customHeight="1">
      <c r="A516" s="2"/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 s="2"/>
      <c r="O516" s="2"/>
      <c r="P516" s="2"/>
      <c r="Q516" s="2"/>
      <c r="R516" s="2"/>
      <c r="S516" s="2"/>
      <c r="T516" s="2"/>
      <c r="U516" s="2"/>
      <c r="V516" s="2"/>
      <c r="W516" s="2"/>
      <c r="X516" s="2"/>
      <c r="Y516" s="2"/>
      <c r="Z516" s="2"/>
    </row>
    <row r="517" ht="15.75" customHeight="1">
      <c r="A517" s="2"/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 s="2"/>
      <c r="O517" s="2"/>
      <c r="P517" s="2"/>
      <c r="Q517" s="2"/>
      <c r="R517" s="2"/>
      <c r="S517" s="2"/>
      <c r="T517" s="2"/>
      <c r="U517" s="2"/>
      <c r="V517" s="2"/>
      <c r="W517" s="2"/>
      <c r="X517" s="2"/>
      <c r="Y517" s="2"/>
      <c r="Z517" s="2"/>
    </row>
    <row r="518" ht="15.75" customHeight="1">
      <c r="A518" s="2"/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 s="2"/>
      <c r="O518" s="2"/>
      <c r="P518" s="2"/>
      <c r="Q518" s="2"/>
      <c r="R518" s="2"/>
      <c r="S518" s="2"/>
      <c r="T518" s="2"/>
      <c r="U518" s="2"/>
      <c r="V518" s="2"/>
      <c r="W518" s="2"/>
      <c r="X518" s="2"/>
      <c r="Y518" s="2"/>
      <c r="Z518" s="2"/>
    </row>
    <row r="519" ht="15.75" customHeight="1">
      <c r="A519" s="2"/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 s="2"/>
      <c r="O519" s="2"/>
      <c r="P519" s="2"/>
      <c r="Q519" s="2"/>
      <c r="R519" s="2"/>
      <c r="S519" s="2"/>
      <c r="T519" s="2"/>
      <c r="U519" s="2"/>
      <c r="V519" s="2"/>
      <c r="W519" s="2"/>
      <c r="X519" s="2"/>
      <c r="Y519" s="2"/>
      <c r="Z519" s="2"/>
    </row>
    <row r="520" ht="15.75" customHeight="1">
      <c r="A520" s="2"/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 s="2"/>
      <c r="O520" s="2"/>
      <c r="P520" s="2"/>
      <c r="Q520" s="2"/>
      <c r="R520" s="2"/>
      <c r="S520" s="2"/>
      <c r="T520" s="2"/>
      <c r="U520" s="2"/>
      <c r="V520" s="2"/>
      <c r="W520" s="2"/>
      <c r="X520" s="2"/>
      <c r="Y520" s="2"/>
      <c r="Z520" s="2"/>
    </row>
    <row r="521" ht="15.75" customHeight="1">
      <c r="A521" s="2"/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 s="2"/>
      <c r="O521" s="2"/>
      <c r="P521" s="2"/>
      <c r="Q521" s="2"/>
      <c r="R521" s="2"/>
      <c r="S521" s="2"/>
      <c r="T521" s="2"/>
      <c r="U521" s="2"/>
      <c r="V521" s="2"/>
      <c r="W521" s="2"/>
      <c r="X521" s="2"/>
      <c r="Y521" s="2"/>
      <c r="Z521" s="2"/>
    </row>
    <row r="522" ht="15.75" customHeight="1">
      <c r="A522" s="2"/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 s="2"/>
      <c r="O522" s="2"/>
      <c r="P522" s="2"/>
      <c r="Q522" s="2"/>
      <c r="R522" s="2"/>
      <c r="S522" s="2"/>
      <c r="T522" s="2"/>
      <c r="U522" s="2"/>
      <c r="V522" s="2"/>
      <c r="W522" s="2"/>
      <c r="X522" s="2"/>
      <c r="Y522" s="2"/>
      <c r="Z522" s="2"/>
    </row>
    <row r="523" ht="15.75" customHeight="1">
      <c r="A523" s="2"/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 s="2"/>
      <c r="O523" s="2"/>
      <c r="P523" s="2"/>
      <c r="Q523" s="2"/>
      <c r="R523" s="2"/>
      <c r="S523" s="2"/>
      <c r="T523" s="2"/>
      <c r="U523" s="2"/>
      <c r="V523" s="2"/>
      <c r="W523" s="2"/>
      <c r="X523" s="2"/>
      <c r="Y523" s="2"/>
      <c r="Z523" s="2"/>
    </row>
    <row r="524" ht="15.75" customHeight="1">
      <c r="A524" s="2"/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 s="2"/>
      <c r="O524" s="2"/>
      <c r="P524" s="2"/>
      <c r="Q524" s="2"/>
      <c r="R524" s="2"/>
      <c r="S524" s="2"/>
      <c r="T524" s="2"/>
      <c r="U524" s="2"/>
      <c r="V524" s="2"/>
      <c r="W524" s="2"/>
      <c r="X524" s="2"/>
      <c r="Y524" s="2"/>
      <c r="Z524" s="2"/>
    </row>
    <row r="525" ht="15.75" customHeight="1">
      <c r="A525" s="2"/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/>
      <c r="P525" s="2"/>
      <c r="Q525" s="2"/>
      <c r="R525" s="2"/>
      <c r="S525" s="2"/>
      <c r="T525" s="2"/>
      <c r="U525" s="2"/>
      <c r="V525" s="2"/>
      <c r="W525" s="2"/>
      <c r="X525" s="2"/>
      <c r="Y525" s="2"/>
      <c r="Z525" s="2"/>
    </row>
    <row r="526" ht="15.75" customHeight="1">
      <c r="A526" s="2"/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 s="2"/>
      <c r="O526" s="2"/>
      <c r="P526" s="2"/>
      <c r="Q526" s="2"/>
      <c r="R526" s="2"/>
      <c r="S526" s="2"/>
      <c r="T526" s="2"/>
      <c r="U526" s="2"/>
      <c r="V526" s="2"/>
      <c r="W526" s="2"/>
      <c r="X526" s="2"/>
      <c r="Y526" s="2"/>
      <c r="Z526" s="2"/>
    </row>
    <row r="527" ht="15.75" customHeight="1">
      <c r="A527" s="2"/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 s="2"/>
      <c r="O527" s="2"/>
      <c r="P527" s="2"/>
      <c r="Q527" s="2"/>
      <c r="R527" s="2"/>
      <c r="S527" s="2"/>
      <c r="T527" s="2"/>
      <c r="U527" s="2"/>
      <c r="V527" s="2"/>
      <c r="W527" s="2"/>
      <c r="X527" s="2"/>
      <c r="Y527" s="2"/>
      <c r="Z527" s="2"/>
    </row>
    <row r="528" ht="15.75" customHeight="1">
      <c r="A528" s="2"/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 s="2"/>
      <c r="O528" s="2"/>
      <c r="P528" s="2"/>
      <c r="Q528" s="2"/>
      <c r="R528" s="2"/>
      <c r="S528" s="2"/>
      <c r="T528" s="2"/>
      <c r="U528" s="2"/>
      <c r="V528" s="2"/>
      <c r="W528" s="2"/>
      <c r="X528" s="2"/>
      <c r="Y528" s="2"/>
      <c r="Z528" s="2"/>
    </row>
    <row r="529" ht="15.75" customHeight="1">
      <c r="A529" s="2"/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 s="2"/>
      <c r="O529" s="2"/>
      <c r="P529" s="2"/>
      <c r="Q529" s="2"/>
      <c r="R529" s="2"/>
      <c r="S529" s="2"/>
      <c r="T529" s="2"/>
      <c r="U529" s="2"/>
      <c r="V529" s="2"/>
      <c r="W529" s="2"/>
      <c r="X529" s="2"/>
      <c r="Y529" s="2"/>
      <c r="Z529" s="2"/>
    </row>
    <row r="530" ht="15.75" customHeight="1">
      <c r="A530" s="2"/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 s="2"/>
      <c r="O530" s="2"/>
      <c r="P530" s="2"/>
      <c r="Q530" s="2"/>
      <c r="R530" s="2"/>
      <c r="S530" s="2"/>
      <c r="T530" s="2"/>
      <c r="U530" s="2"/>
      <c r="V530" s="2"/>
      <c r="W530" s="2"/>
      <c r="X530" s="2"/>
      <c r="Y530" s="2"/>
      <c r="Z530" s="2"/>
    </row>
    <row r="531" ht="15.75" customHeight="1">
      <c r="A531" s="2"/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 s="2"/>
      <c r="O531" s="2"/>
      <c r="P531" s="2"/>
      <c r="Q531" s="2"/>
      <c r="R531" s="2"/>
      <c r="S531" s="2"/>
      <c r="T531" s="2"/>
      <c r="U531" s="2"/>
      <c r="V531" s="2"/>
      <c r="W531" s="2"/>
      <c r="X531" s="2"/>
      <c r="Y531" s="2"/>
      <c r="Z531" s="2"/>
    </row>
    <row r="532" ht="15.75" customHeight="1">
      <c r="A532" s="2"/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 s="2"/>
      <c r="O532" s="2"/>
      <c r="P532" s="2"/>
      <c r="Q532" s="2"/>
      <c r="R532" s="2"/>
      <c r="S532" s="2"/>
      <c r="T532" s="2"/>
      <c r="U532" s="2"/>
      <c r="V532" s="2"/>
      <c r="W532" s="2"/>
      <c r="X532" s="2"/>
      <c r="Y532" s="2"/>
      <c r="Z532" s="2"/>
    </row>
    <row r="533" ht="15.75" customHeight="1">
      <c r="A533" s="2"/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 s="2"/>
      <c r="O533" s="2"/>
      <c r="P533" s="2"/>
      <c r="Q533" s="2"/>
      <c r="R533" s="2"/>
      <c r="S533" s="2"/>
      <c r="T533" s="2"/>
      <c r="U533" s="2"/>
      <c r="V533" s="2"/>
      <c r="W533" s="2"/>
      <c r="X533" s="2"/>
      <c r="Y533" s="2"/>
      <c r="Z533" s="2"/>
    </row>
    <row r="534" ht="15.75" customHeight="1">
      <c r="A534" s="2"/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/>
      <c r="P534" s="2"/>
      <c r="Q534" s="2"/>
      <c r="R534" s="2"/>
      <c r="S534" s="2"/>
      <c r="T534" s="2"/>
      <c r="U534" s="2"/>
      <c r="V534" s="2"/>
      <c r="W534" s="2"/>
      <c r="X534" s="2"/>
      <c r="Y534" s="2"/>
      <c r="Z534" s="2"/>
    </row>
    <row r="535" ht="15.75" customHeight="1">
      <c r="A535" s="2"/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 s="2"/>
      <c r="O535" s="2"/>
      <c r="P535" s="2"/>
      <c r="Q535" s="2"/>
      <c r="R535" s="2"/>
      <c r="S535" s="2"/>
      <c r="T535" s="2"/>
      <c r="U535" s="2"/>
      <c r="V535" s="2"/>
      <c r="W535" s="2"/>
      <c r="X535" s="2"/>
      <c r="Y535" s="2"/>
      <c r="Z535" s="2"/>
    </row>
    <row r="536" ht="15.75" customHeight="1">
      <c r="A536" s="2"/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/>
      <c r="P536" s="2"/>
      <c r="Q536" s="2"/>
      <c r="R536" s="2"/>
      <c r="S536" s="2"/>
      <c r="T536" s="2"/>
      <c r="U536" s="2"/>
      <c r="V536" s="2"/>
      <c r="W536" s="2"/>
      <c r="X536" s="2"/>
      <c r="Y536" s="2"/>
      <c r="Z536" s="2"/>
    </row>
    <row r="537" ht="15.75" customHeight="1">
      <c r="A537" s="2"/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 s="2"/>
      <c r="O537" s="2"/>
      <c r="P537" s="2"/>
      <c r="Q537" s="2"/>
      <c r="R537" s="2"/>
      <c r="S537" s="2"/>
      <c r="T537" s="2"/>
      <c r="U537" s="2"/>
      <c r="V537" s="2"/>
      <c r="W537" s="2"/>
      <c r="X537" s="2"/>
      <c r="Y537" s="2"/>
      <c r="Z537" s="2"/>
    </row>
    <row r="538" ht="15.75" customHeight="1">
      <c r="A538" s="2"/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/>
      <c r="P538" s="2"/>
      <c r="Q538" s="2"/>
      <c r="R538" s="2"/>
      <c r="S538" s="2"/>
      <c r="T538" s="2"/>
      <c r="U538" s="2"/>
      <c r="V538" s="2"/>
      <c r="W538" s="2"/>
      <c r="X538" s="2"/>
      <c r="Y538" s="2"/>
      <c r="Z538" s="2"/>
    </row>
    <row r="539" ht="15.75" customHeight="1">
      <c r="A539" s="2"/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/>
      <c r="P539" s="2"/>
      <c r="Q539" s="2"/>
      <c r="R539" s="2"/>
      <c r="S539" s="2"/>
      <c r="T539" s="2"/>
      <c r="U539" s="2"/>
      <c r="V539" s="2"/>
      <c r="W539" s="2"/>
      <c r="X539" s="2"/>
      <c r="Y539" s="2"/>
      <c r="Z539" s="2"/>
    </row>
    <row r="540" ht="15.75" customHeight="1">
      <c r="A540" s="2"/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 s="2"/>
      <c r="O540" s="2"/>
      <c r="P540" s="2"/>
      <c r="Q540" s="2"/>
      <c r="R540" s="2"/>
      <c r="S540" s="2"/>
      <c r="T540" s="2"/>
      <c r="U540" s="2"/>
      <c r="V540" s="2"/>
      <c r="W540" s="2"/>
      <c r="X540" s="2"/>
      <c r="Y540" s="2"/>
      <c r="Z540" s="2"/>
    </row>
    <row r="541" ht="15.75" customHeight="1">
      <c r="A541" s="2"/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 s="2"/>
      <c r="O541" s="2"/>
      <c r="P541" s="2"/>
      <c r="Q541" s="2"/>
      <c r="R541" s="2"/>
      <c r="S541" s="2"/>
      <c r="T541" s="2"/>
      <c r="U541" s="2"/>
      <c r="V541" s="2"/>
      <c r="W541" s="2"/>
      <c r="X541" s="2"/>
      <c r="Y541" s="2"/>
      <c r="Z541" s="2"/>
    </row>
    <row r="542" ht="15.75" customHeight="1">
      <c r="A542" s="2"/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 s="2"/>
      <c r="O542" s="2"/>
      <c r="P542" s="2"/>
      <c r="Q542" s="2"/>
      <c r="R542" s="2"/>
      <c r="S542" s="2"/>
      <c r="T542" s="2"/>
      <c r="U542" s="2"/>
      <c r="V542" s="2"/>
      <c r="W542" s="2"/>
      <c r="X542" s="2"/>
      <c r="Y542" s="2"/>
      <c r="Z542" s="2"/>
    </row>
    <row r="543" ht="15.75" customHeight="1">
      <c r="A543" s="2"/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 s="2"/>
      <c r="O543" s="2"/>
      <c r="P543" s="2"/>
      <c r="Q543" s="2"/>
      <c r="R543" s="2"/>
      <c r="S543" s="2"/>
      <c r="T543" s="2"/>
      <c r="U543" s="2"/>
      <c r="V543" s="2"/>
      <c r="W543" s="2"/>
      <c r="X543" s="2"/>
      <c r="Y543" s="2"/>
      <c r="Z543" s="2"/>
    </row>
    <row r="544" ht="15.75" customHeight="1">
      <c r="A544" s="2"/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 s="2"/>
      <c r="O544" s="2"/>
      <c r="P544" s="2"/>
      <c r="Q544" s="2"/>
      <c r="R544" s="2"/>
      <c r="S544" s="2"/>
      <c r="T544" s="2"/>
      <c r="U544" s="2"/>
      <c r="V544" s="2"/>
      <c r="W544" s="2"/>
      <c r="X544" s="2"/>
      <c r="Y544" s="2"/>
      <c r="Z544" s="2"/>
    </row>
    <row r="545" ht="15.75" customHeight="1">
      <c r="A545" s="2"/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 s="2"/>
      <c r="O545" s="2"/>
      <c r="P545" s="2"/>
      <c r="Q545" s="2"/>
      <c r="R545" s="2"/>
      <c r="S545" s="2"/>
      <c r="T545" s="2"/>
      <c r="U545" s="2"/>
      <c r="V545" s="2"/>
      <c r="W545" s="2"/>
      <c r="X545" s="2"/>
      <c r="Y545" s="2"/>
      <c r="Z545" s="2"/>
    </row>
    <row r="546" ht="15.75" customHeight="1">
      <c r="A546" s="2"/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 s="2"/>
      <c r="O546" s="2"/>
      <c r="P546" s="2"/>
      <c r="Q546" s="2"/>
      <c r="R546" s="2"/>
      <c r="S546" s="2"/>
      <c r="T546" s="2"/>
      <c r="U546" s="2"/>
      <c r="V546" s="2"/>
      <c r="W546" s="2"/>
      <c r="X546" s="2"/>
      <c r="Y546" s="2"/>
      <c r="Z546" s="2"/>
    </row>
    <row r="547" ht="15.75" customHeight="1">
      <c r="A547" s="2"/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/>
      <c r="P547" s="2"/>
      <c r="Q547" s="2"/>
      <c r="R547" s="2"/>
      <c r="S547" s="2"/>
      <c r="T547" s="2"/>
      <c r="U547" s="2"/>
      <c r="V547" s="2"/>
      <c r="W547" s="2"/>
      <c r="X547" s="2"/>
      <c r="Y547" s="2"/>
      <c r="Z547" s="2"/>
    </row>
    <row r="548" ht="15.75" customHeight="1">
      <c r="A548" s="2"/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 s="2"/>
      <c r="O548" s="2"/>
      <c r="P548" s="2"/>
      <c r="Q548" s="2"/>
      <c r="R548" s="2"/>
      <c r="S548" s="2"/>
      <c r="T548" s="2"/>
      <c r="U548" s="2"/>
      <c r="V548" s="2"/>
      <c r="W548" s="2"/>
      <c r="X548" s="2"/>
      <c r="Y548" s="2"/>
      <c r="Z548" s="2"/>
    </row>
    <row r="549" ht="15.75" customHeight="1">
      <c r="A549" s="2"/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2"/>
      <c r="P549" s="2"/>
      <c r="Q549" s="2"/>
      <c r="R549" s="2"/>
      <c r="S549" s="2"/>
      <c r="T549" s="2"/>
      <c r="U549" s="2"/>
      <c r="V549" s="2"/>
      <c r="W549" s="2"/>
      <c r="X549" s="2"/>
      <c r="Y549" s="2"/>
      <c r="Z549" s="2"/>
    </row>
    <row r="550" ht="15.75" customHeight="1">
      <c r="A550" s="2"/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 s="2"/>
      <c r="O550" s="2"/>
      <c r="P550" s="2"/>
      <c r="Q550" s="2"/>
      <c r="R550" s="2"/>
      <c r="S550" s="2"/>
      <c r="T550" s="2"/>
      <c r="U550" s="2"/>
      <c r="V550" s="2"/>
      <c r="W550" s="2"/>
      <c r="X550" s="2"/>
      <c r="Y550" s="2"/>
      <c r="Z550" s="2"/>
    </row>
    <row r="551" ht="15.75" customHeight="1">
      <c r="A551" s="2"/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 s="2"/>
      <c r="O551" s="2"/>
      <c r="P551" s="2"/>
      <c r="Q551" s="2"/>
      <c r="R551" s="2"/>
      <c r="S551" s="2"/>
      <c r="T551" s="2"/>
      <c r="U551" s="2"/>
      <c r="V551" s="2"/>
      <c r="W551" s="2"/>
      <c r="X551" s="2"/>
      <c r="Y551" s="2"/>
      <c r="Z551" s="2"/>
    </row>
    <row r="552" ht="15.75" customHeight="1">
      <c r="A552" s="2"/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 s="2"/>
      <c r="O552" s="2"/>
      <c r="P552" s="2"/>
      <c r="Q552" s="2"/>
      <c r="R552" s="2"/>
      <c r="S552" s="2"/>
      <c r="T552" s="2"/>
      <c r="U552" s="2"/>
      <c r="V552" s="2"/>
      <c r="W552" s="2"/>
      <c r="X552" s="2"/>
      <c r="Y552" s="2"/>
      <c r="Z552" s="2"/>
    </row>
    <row r="553" ht="15.75" customHeight="1">
      <c r="A553" s="2"/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 s="2"/>
      <c r="O553" s="2"/>
      <c r="P553" s="2"/>
      <c r="Q553" s="2"/>
      <c r="R553" s="2"/>
      <c r="S553" s="2"/>
      <c r="T553" s="2"/>
      <c r="U553" s="2"/>
      <c r="V553" s="2"/>
      <c r="W553" s="2"/>
      <c r="X553" s="2"/>
      <c r="Y553" s="2"/>
      <c r="Z553" s="2"/>
    </row>
    <row r="554" ht="15.75" customHeight="1">
      <c r="A554" s="2"/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 s="2"/>
      <c r="O554" s="2"/>
      <c r="P554" s="2"/>
      <c r="Q554" s="2"/>
      <c r="R554" s="2"/>
      <c r="S554" s="2"/>
      <c r="T554" s="2"/>
      <c r="U554" s="2"/>
      <c r="V554" s="2"/>
      <c r="W554" s="2"/>
      <c r="X554" s="2"/>
      <c r="Y554" s="2"/>
      <c r="Z554" s="2"/>
    </row>
    <row r="555" ht="15.75" customHeight="1">
      <c r="A555" s="2"/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/>
      <c r="P555" s="2"/>
      <c r="Q555" s="2"/>
      <c r="R555" s="2"/>
      <c r="S555" s="2"/>
      <c r="T555" s="2"/>
      <c r="U555" s="2"/>
      <c r="V555" s="2"/>
      <c r="W555" s="2"/>
      <c r="X555" s="2"/>
      <c r="Y555" s="2"/>
      <c r="Z555" s="2"/>
    </row>
    <row r="556" ht="15.75" customHeight="1">
      <c r="A556" s="2"/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 s="2"/>
      <c r="O556" s="2"/>
      <c r="P556" s="2"/>
      <c r="Q556" s="2"/>
      <c r="R556" s="2"/>
      <c r="S556" s="2"/>
      <c r="T556" s="2"/>
      <c r="U556" s="2"/>
      <c r="V556" s="2"/>
      <c r="W556" s="2"/>
      <c r="X556" s="2"/>
      <c r="Y556" s="2"/>
      <c r="Z556" s="2"/>
    </row>
    <row r="557" ht="15.75" customHeight="1">
      <c r="A557" s="2"/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 s="2"/>
      <c r="O557" s="2"/>
      <c r="P557" s="2"/>
      <c r="Q557" s="2"/>
      <c r="R557" s="2"/>
      <c r="S557" s="2"/>
      <c r="T557" s="2"/>
      <c r="U557" s="2"/>
      <c r="V557" s="2"/>
      <c r="W557" s="2"/>
      <c r="X557" s="2"/>
      <c r="Y557" s="2"/>
      <c r="Z557" s="2"/>
    </row>
    <row r="558" ht="15.75" customHeight="1">
      <c r="A558" s="2"/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 s="2"/>
      <c r="O558" s="2"/>
      <c r="P558" s="2"/>
      <c r="Q558" s="2"/>
      <c r="R558" s="2"/>
      <c r="S558" s="2"/>
      <c r="T558" s="2"/>
      <c r="U558" s="2"/>
      <c r="V558" s="2"/>
      <c r="W558" s="2"/>
      <c r="X558" s="2"/>
      <c r="Y558" s="2"/>
      <c r="Z558" s="2"/>
    </row>
    <row r="559" ht="15.75" customHeight="1">
      <c r="A559" s="2"/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2"/>
      <c r="P559" s="2"/>
      <c r="Q559" s="2"/>
      <c r="R559" s="2"/>
      <c r="S559" s="2"/>
      <c r="T559" s="2"/>
      <c r="U559" s="2"/>
      <c r="V559" s="2"/>
      <c r="W559" s="2"/>
      <c r="X559" s="2"/>
      <c r="Y559" s="2"/>
      <c r="Z559" s="2"/>
    </row>
    <row r="560" ht="15.75" customHeight="1">
      <c r="A560" s="2"/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 s="2"/>
      <c r="O560" s="2"/>
      <c r="P560" s="2"/>
      <c r="Q560" s="2"/>
      <c r="R560" s="2"/>
      <c r="S560" s="2"/>
      <c r="T560" s="2"/>
      <c r="U560" s="2"/>
      <c r="V560" s="2"/>
      <c r="W560" s="2"/>
      <c r="X560" s="2"/>
      <c r="Y560" s="2"/>
      <c r="Z560" s="2"/>
    </row>
    <row r="561" ht="15.75" customHeight="1">
      <c r="A561" s="2"/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 s="2"/>
      <c r="O561" s="2"/>
      <c r="P561" s="2"/>
      <c r="Q561" s="2"/>
      <c r="R561" s="2"/>
      <c r="S561" s="2"/>
      <c r="T561" s="2"/>
      <c r="U561" s="2"/>
      <c r="V561" s="2"/>
      <c r="W561" s="2"/>
      <c r="X561" s="2"/>
      <c r="Y561" s="2"/>
      <c r="Z561" s="2"/>
    </row>
    <row r="562" ht="15.75" customHeight="1">
      <c r="A562" s="2"/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 s="2"/>
      <c r="O562" s="2"/>
      <c r="P562" s="2"/>
      <c r="Q562" s="2"/>
      <c r="R562" s="2"/>
      <c r="S562" s="2"/>
      <c r="T562" s="2"/>
      <c r="U562" s="2"/>
      <c r="V562" s="2"/>
      <c r="W562" s="2"/>
      <c r="X562" s="2"/>
      <c r="Y562" s="2"/>
      <c r="Z562" s="2"/>
    </row>
    <row r="563" ht="15.75" customHeight="1">
      <c r="A563" s="2"/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 s="2"/>
      <c r="O563" s="2"/>
      <c r="P563" s="2"/>
      <c r="Q563" s="2"/>
      <c r="R563" s="2"/>
      <c r="S563" s="2"/>
      <c r="T563" s="2"/>
      <c r="U563" s="2"/>
      <c r="V563" s="2"/>
      <c r="W563" s="2"/>
      <c r="X563" s="2"/>
      <c r="Y563" s="2"/>
      <c r="Z563" s="2"/>
    </row>
    <row r="564" ht="15.75" customHeight="1">
      <c r="A564" s="2"/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 s="2"/>
      <c r="O564" s="2"/>
      <c r="P564" s="2"/>
      <c r="Q564" s="2"/>
      <c r="R564" s="2"/>
      <c r="S564" s="2"/>
      <c r="T564" s="2"/>
      <c r="U564" s="2"/>
      <c r="V564" s="2"/>
      <c r="W564" s="2"/>
      <c r="X564" s="2"/>
      <c r="Y564" s="2"/>
      <c r="Z564" s="2"/>
    </row>
    <row r="565" ht="15.75" customHeight="1">
      <c r="A565" s="2"/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 s="2"/>
      <c r="O565" s="2"/>
      <c r="P565" s="2"/>
      <c r="Q565" s="2"/>
      <c r="R565" s="2"/>
      <c r="S565" s="2"/>
      <c r="T565" s="2"/>
      <c r="U565" s="2"/>
      <c r="V565" s="2"/>
      <c r="W565" s="2"/>
      <c r="X565" s="2"/>
      <c r="Y565" s="2"/>
      <c r="Z565" s="2"/>
    </row>
    <row r="566" ht="15.75" customHeight="1">
      <c r="A566" s="2"/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/>
      <c r="P566" s="2"/>
      <c r="Q566" s="2"/>
      <c r="R566" s="2"/>
      <c r="S566" s="2"/>
      <c r="T566" s="2"/>
      <c r="U566" s="2"/>
      <c r="V566" s="2"/>
      <c r="W566" s="2"/>
      <c r="X566" s="2"/>
      <c r="Y566" s="2"/>
      <c r="Z566" s="2"/>
    </row>
    <row r="567" ht="15.75" customHeight="1">
      <c r="A567" s="2"/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 s="2"/>
      <c r="O567" s="2"/>
      <c r="P567" s="2"/>
      <c r="Q567" s="2"/>
      <c r="R567" s="2"/>
      <c r="S567" s="2"/>
      <c r="T567" s="2"/>
      <c r="U567" s="2"/>
      <c r="V567" s="2"/>
      <c r="W567" s="2"/>
      <c r="X567" s="2"/>
      <c r="Y567" s="2"/>
      <c r="Z567" s="2"/>
    </row>
    <row r="568" ht="15.75" customHeight="1">
      <c r="A568" s="2"/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 s="2"/>
      <c r="O568" s="2"/>
      <c r="P568" s="2"/>
      <c r="Q568" s="2"/>
      <c r="R568" s="2"/>
      <c r="S568" s="2"/>
      <c r="T568" s="2"/>
      <c r="U568" s="2"/>
      <c r="V568" s="2"/>
      <c r="W568" s="2"/>
      <c r="X568" s="2"/>
      <c r="Y568" s="2"/>
      <c r="Z568" s="2"/>
    </row>
    <row r="569" ht="15.75" customHeight="1">
      <c r="A569" s="2"/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 s="2"/>
      <c r="O569" s="2"/>
      <c r="P569" s="2"/>
      <c r="Q569" s="2"/>
      <c r="R569" s="2"/>
      <c r="S569" s="2"/>
      <c r="T569" s="2"/>
      <c r="U569" s="2"/>
      <c r="V569" s="2"/>
      <c r="W569" s="2"/>
      <c r="X569" s="2"/>
      <c r="Y569" s="2"/>
      <c r="Z569" s="2"/>
    </row>
    <row r="570" ht="15.75" customHeight="1">
      <c r="A570" s="2"/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 s="2"/>
      <c r="O570" s="2"/>
      <c r="P570" s="2"/>
      <c r="Q570" s="2"/>
      <c r="R570" s="2"/>
      <c r="S570" s="2"/>
      <c r="T570" s="2"/>
      <c r="U570" s="2"/>
      <c r="V570" s="2"/>
      <c r="W570" s="2"/>
      <c r="X570" s="2"/>
      <c r="Y570" s="2"/>
      <c r="Z570" s="2"/>
    </row>
    <row r="571" ht="15.75" customHeight="1">
      <c r="A571" s="2"/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 s="2"/>
      <c r="O571" s="2"/>
      <c r="P571" s="2"/>
      <c r="Q571" s="2"/>
      <c r="R571" s="2"/>
      <c r="S571" s="2"/>
      <c r="T571" s="2"/>
      <c r="U571" s="2"/>
      <c r="V571" s="2"/>
      <c r="W571" s="2"/>
      <c r="X571" s="2"/>
      <c r="Y571" s="2"/>
      <c r="Z571" s="2"/>
    </row>
    <row r="572" ht="15.75" customHeight="1">
      <c r="A572" s="2"/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 s="2"/>
      <c r="O572" s="2"/>
      <c r="P572" s="2"/>
      <c r="Q572" s="2"/>
      <c r="R572" s="2"/>
      <c r="S572" s="2"/>
      <c r="T572" s="2"/>
      <c r="U572" s="2"/>
      <c r="V572" s="2"/>
      <c r="W572" s="2"/>
      <c r="X572" s="2"/>
      <c r="Y572" s="2"/>
      <c r="Z572" s="2"/>
    </row>
    <row r="573" ht="15.75" customHeight="1">
      <c r="A573" s="2"/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 s="2"/>
      <c r="O573" s="2"/>
      <c r="P573" s="2"/>
      <c r="Q573" s="2"/>
      <c r="R573" s="2"/>
      <c r="S573" s="2"/>
      <c r="T573" s="2"/>
      <c r="U573" s="2"/>
      <c r="V573" s="2"/>
      <c r="W573" s="2"/>
      <c r="X573" s="2"/>
      <c r="Y573" s="2"/>
      <c r="Z573" s="2"/>
    </row>
    <row r="574" ht="15.75" customHeight="1">
      <c r="A574" s="2"/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 s="2"/>
      <c r="O574" s="2"/>
      <c r="P574" s="2"/>
      <c r="Q574" s="2"/>
      <c r="R574" s="2"/>
      <c r="S574" s="2"/>
      <c r="T574" s="2"/>
      <c r="U574" s="2"/>
      <c r="V574" s="2"/>
      <c r="W574" s="2"/>
      <c r="X574" s="2"/>
      <c r="Y574" s="2"/>
      <c r="Z574" s="2"/>
    </row>
    <row r="575" ht="15.75" customHeight="1">
      <c r="A575" s="2"/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 s="2"/>
      <c r="O575" s="2"/>
      <c r="P575" s="2"/>
      <c r="Q575" s="2"/>
      <c r="R575" s="2"/>
      <c r="S575" s="2"/>
      <c r="T575" s="2"/>
      <c r="U575" s="2"/>
      <c r="V575" s="2"/>
      <c r="W575" s="2"/>
      <c r="X575" s="2"/>
      <c r="Y575" s="2"/>
      <c r="Z575" s="2"/>
    </row>
    <row r="576" ht="15.75" customHeight="1">
      <c r="A576" s="2"/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 s="2"/>
      <c r="O576" s="2"/>
      <c r="P576" s="2"/>
      <c r="Q576" s="2"/>
      <c r="R576" s="2"/>
      <c r="S576" s="2"/>
      <c r="T576" s="2"/>
      <c r="U576" s="2"/>
      <c r="V576" s="2"/>
      <c r="W576" s="2"/>
      <c r="X576" s="2"/>
      <c r="Y576" s="2"/>
      <c r="Z576" s="2"/>
    </row>
    <row r="577" ht="15.75" customHeight="1">
      <c r="A577" s="2"/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 s="2"/>
      <c r="O577" s="2"/>
      <c r="P577" s="2"/>
      <c r="Q577" s="2"/>
      <c r="R577" s="2"/>
      <c r="S577" s="2"/>
      <c r="T577" s="2"/>
      <c r="U577" s="2"/>
      <c r="V577" s="2"/>
      <c r="W577" s="2"/>
      <c r="X577" s="2"/>
      <c r="Y577" s="2"/>
      <c r="Z577" s="2"/>
    </row>
    <row r="578" ht="15.75" customHeight="1">
      <c r="A578" s="2"/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/>
      <c r="P578" s="2"/>
      <c r="Q578" s="2"/>
      <c r="R578" s="2"/>
      <c r="S578" s="2"/>
      <c r="T578" s="2"/>
      <c r="U578" s="2"/>
      <c r="V578" s="2"/>
      <c r="W578" s="2"/>
      <c r="X578" s="2"/>
      <c r="Y578" s="2"/>
      <c r="Z578" s="2"/>
    </row>
    <row r="579" ht="15.75" customHeight="1">
      <c r="A579" s="2"/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2"/>
      <c r="P579" s="2"/>
      <c r="Q579" s="2"/>
      <c r="R579" s="2"/>
      <c r="S579" s="2"/>
      <c r="T579" s="2"/>
      <c r="U579" s="2"/>
      <c r="V579" s="2"/>
      <c r="W579" s="2"/>
      <c r="X579" s="2"/>
      <c r="Y579" s="2"/>
      <c r="Z579" s="2"/>
    </row>
    <row r="580" ht="15.75" customHeight="1">
      <c r="A580" s="2"/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 s="2"/>
      <c r="O580" s="2"/>
      <c r="P580" s="2"/>
      <c r="Q580" s="2"/>
      <c r="R580" s="2"/>
      <c r="S580" s="2"/>
      <c r="T580" s="2"/>
      <c r="U580" s="2"/>
      <c r="V580" s="2"/>
      <c r="W580" s="2"/>
      <c r="X580" s="2"/>
      <c r="Y580" s="2"/>
      <c r="Z580" s="2"/>
    </row>
    <row r="581" ht="15.75" customHeight="1">
      <c r="A581" s="2"/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 s="2"/>
      <c r="O581" s="2"/>
      <c r="P581" s="2"/>
      <c r="Q581" s="2"/>
      <c r="R581" s="2"/>
      <c r="S581" s="2"/>
      <c r="T581" s="2"/>
      <c r="U581" s="2"/>
      <c r="V581" s="2"/>
      <c r="W581" s="2"/>
      <c r="X581" s="2"/>
      <c r="Y581" s="2"/>
      <c r="Z581" s="2"/>
    </row>
    <row r="582" ht="15.75" customHeight="1">
      <c r="A582" s="2"/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/>
      <c r="P582" s="2"/>
      <c r="Q582" s="2"/>
      <c r="R582" s="2"/>
      <c r="S582" s="2"/>
      <c r="T582" s="2"/>
      <c r="U582" s="2"/>
      <c r="V582" s="2"/>
      <c r="W582" s="2"/>
      <c r="X582" s="2"/>
      <c r="Y582" s="2"/>
      <c r="Z582" s="2"/>
    </row>
    <row r="583" ht="15.75" customHeight="1">
      <c r="A583" s="2"/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 s="2"/>
      <c r="O583" s="2"/>
      <c r="P583" s="2"/>
      <c r="Q583" s="2"/>
      <c r="R583" s="2"/>
      <c r="S583" s="2"/>
      <c r="T583" s="2"/>
      <c r="U583" s="2"/>
      <c r="V583" s="2"/>
      <c r="W583" s="2"/>
      <c r="X583" s="2"/>
      <c r="Y583" s="2"/>
      <c r="Z583" s="2"/>
    </row>
    <row r="584" ht="15.75" customHeight="1">
      <c r="A584" s="2"/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 s="2"/>
      <c r="O584" s="2"/>
      <c r="P584" s="2"/>
      <c r="Q584" s="2"/>
      <c r="R584" s="2"/>
      <c r="S584" s="2"/>
      <c r="T584" s="2"/>
      <c r="U584" s="2"/>
      <c r="V584" s="2"/>
      <c r="W584" s="2"/>
      <c r="X584" s="2"/>
      <c r="Y584" s="2"/>
      <c r="Z584" s="2"/>
    </row>
    <row r="585" ht="15.75" customHeight="1">
      <c r="A585" s="2"/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 s="2"/>
      <c r="O585" s="2"/>
      <c r="P585" s="2"/>
      <c r="Q585" s="2"/>
      <c r="R585" s="2"/>
      <c r="S585" s="2"/>
      <c r="T585" s="2"/>
      <c r="U585" s="2"/>
      <c r="V585" s="2"/>
      <c r="W585" s="2"/>
      <c r="X585" s="2"/>
      <c r="Y585" s="2"/>
      <c r="Z585" s="2"/>
    </row>
    <row r="586" ht="15.75" customHeight="1">
      <c r="A586" s="2"/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 s="2"/>
      <c r="O586" s="2"/>
      <c r="P586" s="2"/>
      <c r="Q586" s="2"/>
      <c r="R586" s="2"/>
      <c r="S586" s="2"/>
      <c r="T586" s="2"/>
      <c r="U586" s="2"/>
      <c r="V586" s="2"/>
      <c r="W586" s="2"/>
      <c r="X586" s="2"/>
      <c r="Y586" s="2"/>
      <c r="Z586" s="2"/>
    </row>
    <row r="587" ht="15.75" customHeight="1">
      <c r="A587" s="2"/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 s="2"/>
      <c r="O587" s="2"/>
      <c r="P587" s="2"/>
      <c r="Q587" s="2"/>
      <c r="R587" s="2"/>
      <c r="S587" s="2"/>
      <c r="T587" s="2"/>
      <c r="U587" s="2"/>
      <c r="V587" s="2"/>
      <c r="W587" s="2"/>
      <c r="X587" s="2"/>
      <c r="Y587" s="2"/>
      <c r="Z587" s="2"/>
    </row>
    <row r="588" ht="15.75" customHeight="1">
      <c r="A588" s="2"/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 s="2"/>
      <c r="O588" s="2"/>
      <c r="P588" s="2"/>
      <c r="Q588" s="2"/>
      <c r="R588" s="2"/>
      <c r="S588" s="2"/>
      <c r="T588" s="2"/>
      <c r="U588" s="2"/>
      <c r="V588" s="2"/>
      <c r="W588" s="2"/>
      <c r="X588" s="2"/>
      <c r="Y588" s="2"/>
      <c r="Z588" s="2"/>
    </row>
    <row r="589" ht="15.75" customHeight="1">
      <c r="A589" s="2"/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 s="2"/>
      <c r="O589" s="2"/>
      <c r="P589" s="2"/>
      <c r="Q589" s="2"/>
      <c r="R589" s="2"/>
      <c r="S589" s="2"/>
      <c r="T589" s="2"/>
      <c r="U589" s="2"/>
      <c r="V589" s="2"/>
      <c r="W589" s="2"/>
      <c r="X589" s="2"/>
      <c r="Y589" s="2"/>
      <c r="Z589" s="2"/>
    </row>
    <row r="590" ht="15.75" customHeight="1">
      <c r="A590" s="2"/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 s="2"/>
      <c r="O590" s="2"/>
      <c r="P590" s="2"/>
      <c r="Q590" s="2"/>
      <c r="R590" s="2"/>
      <c r="S590" s="2"/>
      <c r="T590" s="2"/>
      <c r="U590" s="2"/>
      <c r="V590" s="2"/>
      <c r="W590" s="2"/>
      <c r="X590" s="2"/>
      <c r="Y590" s="2"/>
      <c r="Z590" s="2"/>
    </row>
    <row r="591" ht="15.75" customHeight="1">
      <c r="A591" s="2"/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 s="2"/>
      <c r="O591" s="2"/>
      <c r="P591" s="2"/>
      <c r="Q591" s="2"/>
      <c r="R591" s="2"/>
      <c r="S591" s="2"/>
      <c r="T591" s="2"/>
      <c r="U591" s="2"/>
      <c r="V591" s="2"/>
      <c r="W591" s="2"/>
      <c r="X591" s="2"/>
      <c r="Y591" s="2"/>
      <c r="Z591" s="2"/>
    </row>
    <row r="592" ht="15.75" customHeight="1">
      <c r="A592" s="2"/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 s="2"/>
      <c r="O592" s="2"/>
      <c r="P592" s="2"/>
      <c r="Q592" s="2"/>
      <c r="R592" s="2"/>
      <c r="S592" s="2"/>
      <c r="T592" s="2"/>
      <c r="U592" s="2"/>
      <c r="V592" s="2"/>
      <c r="W592" s="2"/>
      <c r="X592" s="2"/>
      <c r="Y592" s="2"/>
      <c r="Z592" s="2"/>
    </row>
    <row r="593" ht="15.75" customHeight="1">
      <c r="A593" s="2"/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 s="2"/>
      <c r="O593" s="2"/>
      <c r="P593" s="2"/>
      <c r="Q593" s="2"/>
      <c r="R593" s="2"/>
      <c r="S593" s="2"/>
      <c r="T593" s="2"/>
      <c r="U593" s="2"/>
      <c r="V593" s="2"/>
      <c r="W593" s="2"/>
      <c r="X593" s="2"/>
      <c r="Y593" s="2"/>
      <c r="Z593" s="2"/>
    </row>
    <row r="594" ht="15.75" customHeight="1">
      <c r="A594" s="2"/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/>
      <c r="P594" s="2"/>
      <c r="Q594" s="2"/>
      <c r="R594" s="2"/>
      <c r="S594" s="2"/>
      <c r="T594" s="2"/>
      <c r="U594" s="2"/>
      <c r="V594" s="2"/>
      <c r="W594" s="2"/>
      <c r="X594" s="2"/>
      <c r="Y594" s="2"/>
      <c r="Z594" s="2"/>
    </row>
    <row r="595" ht="15.75" customHeight="1">
      <c r="A595" s="2"/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 s="2"/>
      <c r="O595" s="2"/>
      <c r="P595" s="2"/>
      <c r="Q595" s="2"/>
      <c r="R595" s="2"/>
      <c r="S595" s="2"/>
      <c r="T595" s="2"/>
      <c r="U595" s="2"/>
      <c r="V595" s="2"/>
      <c r="W595" s="2"/>
      <c r="X595" s="2"/>
      <c r="Y595" s="2"/>
      <c r="Z595" s="2"/>
    </row>
    <row r="596" ht="15.75" customHeight="1">
      <c r="A596" s="2"/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 s="2"/>
      <c r="O596" s="2"/>
      <c r="P596" s="2"/>
      <c r="Q596" s="2"/>
      <c r="R596" s="2"/>
      <c r="S596" s="2"/>
      <c r="T596" s="2"/>
      <c r="U596" s="2"/>
      <c r="V596" s="2"/>
      <c r="W596" s="2"/>
      <c r="X596" s="2"/>
      <c r="Y596" s="2"/>
      <c r="Z596" s="2"/>
    </row>
    <row r="597" ht="15.75" customHeight="1">
      <c r="A597" s="2"/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 s="2"/>
      <c r="O597" s="2"/>
      <c r="P597" s="2"/>
      <c r="Q597" s="2"/>
      <c r="R597" s="2"/>
      <c r="S597" s="2"/>
      <c r="T597" s="2"/>
      <c r="U597" s="2"/>
      <c r="V597" s="2"/>
      <c r="W597" s="2"/>
      <c r="X597" s="2"/>
      <c r="Y597" s="2"/>
      <c r="Z597" s="2"/>
    </row>
    <row r="598" ht="15.75" customHeight="1">
      <c r="A598" s="2"/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 s="2"/>
      <c r="O598" s="2"/>
      <c r="P598" s="2"/>
      <c r="Q598" s="2"/>
      <c r="R598" s="2"/>
      <c r="S598" s="2"/>
      <c r="T598" s="2"/>
      <c r="U598" s="2"/>
      <c r="V598" s="2"/>
      <c r="W598" s="2"/>
      <c r="X598" s="2"/>
      <c r="Y598" s="2"/>
      <c r="Z598" s="2"/>
    </row>
    <row r="599" ht="15.75" customHeight="1">
      <c r="A599" s="2"/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/>
      <c r="P599" s="2"/>
      <c r="Q599" s="2"/>
      <c r="R599" s="2"/>
      <c r="S599" s="2"/>
      <c r="T599" s="2"/>
      <c r="U599" s="2"/>
      <c r="V599" s="2"/>
      <c r="W599" s="2"/>
      <c r="X599" s="2"/>
      <c r="Y599" s="2"/>
      <c r="Z599" s="2"/>
    </row>
    <row r="600" ht="15.75" customHeight="1">
      <c r="A600" s="2"/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 s="2"/>
      <c r="O600" s="2"/>
      <c r="P600" s="2"/>
      <c r="Q600" s="2"/>
      <c r="R600" s="2"/>
      <c r="S600" s="2"/>
      <c r="T600" s="2"/>
      <c r="U600" s="2"/>
      <c r="V600" s="2"/>
      <c r="W600" s="2"/>
      <c r="X600" s="2"/>
      <c r="Y600" s="2"/>
      <c r="Z600" s="2"/>
    </row>
    <row r="601" ht="15.75" customHeight="1">
      <c r="A601" s="2"/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 s="2"/>
      <c r="O601" s="2"/>
      <c r="P601" s="2"/>
      <c r="Q601" s="2"/>
      <c r="R601" s="2"/>
      <c r="S601" s="2"/>
      <c r="T601" s="2"/>
      <c r="U601" s="2"/>
      <c r="V601" s="2"/>
      <c r="W601" s="2"/>
      <c r="X601" s="2"/>
      <c r="Y601" s="2"/>
      <c r="Z601" s="2"/>
    </row>
    <row r="602" ht="15.75" customHeight="1">
      <c r="A602" s="2"/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 s="2"/>
      <c r="O602" s="2"/>
      <c r="P602" s="2"/>
      <c r="Q602" s="2"/>
      <c r="R602" s="2"/>
      <c r="S602" s="2"/>
      <c r="T602" s="2"/>
      <c r="U602" s="2"/>
      <c r="V602" s="2"/>
      <c r="W602" s="2"/>
      <c r="X602" s="2"/>
      <c r="Y602" s="2"/>
      <c r="Z602" s="2"/>
    </row>
    <row r="603" ht="15.75" customHeight="1">
      <c r="A603" s="2"/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 s="2"/>
      <c r="O603" s="2"/>
      <c r="P603" s="2"/>
      <c r="Q603" s="2"/>
      <c r="R603" s="2"/>
      <c r="S603" s="2"/>
      <c r="T603" s="2"/>
      <c r="U603" s="2"/>
      <c r="V603" s="2"/>
      <c r="W603" s="2"/>
      <c r="X603" s="2"/>
      <c r="Y603" s="2"/>
      <c r="Z603" s="2"/>
    </row>
    <row r="604" ht="15.75" customHeight="1">
      <c r="A604" s="2"/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 s="2"/>
      <c r="O604" s="2"/>
      <c r="P604" s="2"/>
      <c r="Q604" s="2"/>
      <c r="R604" s="2"/>
      <c r="S604" s="2"/>
      <c r="T604" s="2"/>
      <c r="U604" s="2"/>
      <c r="V604" s="2"/>
      <c r="W604" s="2"/>
      <c r="X604" s="2"/>
      <c r="Y604" s="2"/>
      <c r="Z604" s="2"/>
    </row>
    <row r="605" ht="15.75" customHeight="1">
      <c r="A605" s="2"/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/>
      <c r="P605" s="2"/>
      <c r="Q605" s="2"/>
      <c r="R605" s="2"/>
      <c r="S605" s="2"/>
      <c r="T605" s="2"/>
      <c r="U605" s="2"/>
      <c r="V605" s="2"/>
      <c r="W605" s="2"/>
      <c r="X605" s="2"/>
      <c r="Y605" s="2"/>
      <c r="Z605" s="2"/>
    </row>
    <row r="606" ht="15.75" customHeight="1">
      <c r="A606" s="2"/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/>
      <c r="P606" s="2"/>
      <c r="Q606" s="2"/>
      <c r="R606" s="2"/>
      <c r="S606" s="2"/>
      <c r="T606" s="2"/>
      <c r="U606" s="2"/>
      <c r="V606" s="2"/>
      <c r="W606" s="2"/>
      <c r="X606" s="2"/>
      <c r="Y606" s="2"/>
      <c r="Z606" s="2"/>
    </row>
    <row r="607" ht="15.75" customHeight="1">
      <c r="A607" s="2"/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 s="2"/>
      <c r="O607" s="2"/>
      <c r="P607" s="2"/>
      <c r="Q607" s="2"/>
      <c r="R607" s="2"/>
      <c r="S607" s="2"/>
      <c r="T607" s="2"/>
      <c r="U607" s="2"/>
      <c r="V607" s="2"/>
      <c r="W607" s="2"/>
      <c r="X607" s="2"/>
      <c r="Y607" s="2"/>
      <c r="Z607" s="2"/>
    </row>
    <row r="608" ht="15.75" customHeight="1">
      <c r="A608" s="2"/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/>
      <c r="P608" s="2"/>
      <c r="Q608" s="2"/>
      <c r="R608" s="2"/>
      <c r="S608" s="2"/>
      <c r="T608" s="2"/>
      <c r="U608" s="2"/>
      <c r="V608" s="2"/>
      <c r="W608" s="2"/>
      <c r="X608" s="2"/>
      <c r="Y608" s="2"/>
      <c r="Z608" s="2"/>
    </row>
    <row r="609" ht="15.75" customHeight="1">
      <c r="A609" s="2"/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/>
      <c r="P609" s="2"/>
      <c r="Q609" s="2"/>
      <c r="R609" s="2"/>
      <c r="S609" s="2"/>
      <c r="T609" s="2"/>
      <c r="U609" s="2"/>
      <c r="V609" s="2"/>
      <c r="W609" s="2"/>
      <c r="X609" s="2"/>
      <c r="Y609" s="2"/>
      <c r="Z609" s="2"/>
    </row>
    <row r="610" ht="15.75" customHeight="1">
      <c r="A610" s="2"/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/>
      <c r="P610" s="2"/>
      <c r="Q610" s="2"/>
      <c r="R610" s="2"/>
      <c r="S610" s="2"/>
      <c r="T610" s="2"/>
      <c r="U610" s="2"/>
      <c r="V610" s="2"/>
      <c r="W610" s="2"/>
      <c r="X610" s="2"/>
      <c r="Y610" s="2"/>
      <c r="Z610" s="2"/>
    </row>
    <row r="611" ht="15.75" customHeight="1">
      <c r="A611" s="2"/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/>
      <c r="P611" s="2"/>
      <c r="Q611" s="2"/>
      <c r="R611" s="2"/>
      <c r="S611" s="2"/>
      <c r="T611" s="2"/>
      <c r="U611" s="2"/>
      <c r="V611" s="2"/>
      <c r="W611" s="2"/>
      <c r="X611" s="2"/>
      <c r="Y611" s="2"/>
      <c r="Z611" s="2"/>
    </row>
    <row r="612" ht="15.75" customHeight="1">
      <c r="A612" s="2"/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/>
      <c r="P612" s="2"/>
      <c r="Q612" s="2"/>
      <c r="R612" s="2"/>
      <c r="S612" s="2"/>
      <c r="T612" s="2"/>
      <c r="U612" s="2"/>
      <c r="V612" s="2"/>
      <c r="W612" s="2"/>
      <c r="X612" s="2"/>
      <c r="Y612" s="2"/>
      <c r="Z612" s="2"/>
    </row>
    <row r="613" ht="15.75" customHeight="1">
      <c r="A613" s="2"/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/>
      <c r="P613" s="2"/>
      <c r="Q613" s="2"/>
      <c r="R613" s="2"/>
      <c r="S613" s="2"/>
      <c r="T613" s="2"/>
      <c r="U613" s="2"/>
      <c r="V613" s="2"/>
      <c r="W613" s="2"/>
      <c r="X613" s="2"/>
      <c r="Y613" s="2"/>
      <c r="Z613" s="2"/>
    </row>
    <row r="614" ht="15.75" customHeight="1">
      <c r="A614" s="2"/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/>
      <c r="P614" s="2"/>
      <c r="Q614" s="2"/>
      <c r="R614" s="2"/>
      <c r="S614" s="2"/>
      <c r="T614" s="2"/>
      <c r="U614" s="2"/>
      <c r="V614" s="2"/>
      <c r="W614" s="2"/>
      <c r="X614" s="2"/>
      <c r="Y614" s="2"/>
      <c r="Z614" s="2"/>
    </row>
    <row r="615" ht="15.75" customHeight="1">
      <c r="A615" s="2"/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/>
      <c r="P615" s="2"/>
      <c r="Q615" s="2"/>
      <c r="R615" s="2"/>
      <c r="S615" s="2"/>
      <c r="T615" s="2"/>
      <c r="U615" s="2"/>
      <c r="V615" s="2"/>
      <c r="W615" s="2"/>
      <c r="X615" s="2"/>
      <c r="Y615" s="2"/>
      <c r="Z615" s="2"/>
    </row>
    <row r="616" ht="15.75" customHeight="1">
      <c r="A616" s="2"/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 s="2"/>
      <c r="O616" s="2"/>
      <c r="P616" s="2"/>
      <c r="Q616" s="2"/>
      <c r="R616" s="2"/>
      <c r="S616" s="2"/>
      <c r="T616" s="2"/>
      <c r="U616" s="2"/>
      <c r="V616" s="2"/>
      <c r="W616" s="2"/>
      <c r="X616" s="2"/>
      <c r="Y616" s="2"/>
      <c r="Z616" s="2"/>
    </row>
    <row r="617" ht="15.75" customHeight="1">
      <c r="A617" s="2"/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 s="2"/>
      <c r="O617" s="2"/>
      <c r="P617" s="2"/>
      <c r="Q617" s="2"/>
      <c r="R617" s="2"/>
      <c r="S617" s="2"/>
      <c r="T617" s="2"/>
      <c r="U617" s="2"/>
      <c r="V617" s="2"/>
      <c r="W617" s="2"/>
      <c r="X617" s="2"/>
      <c r="Y617" s="2"/>
      <c r="Z617" s="2"/>
    </row>
    <row r="618" ht="15.75" customHeight="1">
      <c r="A618" s="2"/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 s="2"/>
      <c r="O618" s="2"/>
      <c r="P618" s="2"/>
      <c r="Q618" s="2"/>
      <c r="R618" s="2"/>
      <c r="S618" s="2"/>
      <c r="T618" s="2"/>
      <c r="U618" s="2"/>
      <c r="V618" s="2"/>
      <c r="W618" s="2"/>
      <c r="X618" s="2"/>
      <c r="Y618" s="2"/>
      <c r="Z618" s="2"/>
    </row>
    <row r="619" ht="15.75" customHeight="1">
      <c r="A619" s="2"/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 s="2"/>
      <c r="O619" s="2"/>
      <c r="P619" s="2"/>
      <c r="Q619" s="2"/>
      <c r="R619" s="2"/>
      <c r="S619" s="2"/>
      <c r="T619" s="2"/>
      <c r="U619" s="2"/>
      <c r="V619" s="2"/>
      <c r="W619" s="2"/>
      <c r="X619" s="2"/>
      <c r="Y619" s="2"/>
      <c r="Z619" s="2"/>
    </row>
    <row r="620" ht="15.75" customHeight="1">
      <c r="A620" s="2"/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 s="2"/>
      <c r="O620" s="2"/>
      <c r="P620" s="2"/>
      <c r="Q620" s="2"/>
      <c r="R620" s="2"/>
      <c r="S620" s="2"/>
      <c r="T620" s="2"/>
      <c r="U620" s="2"/>
      <c r="V620" s="2"/>
      <c r="W620" s="2"/>
      <c r="X620" s="2"/>
      <c r="Y620" s="2"/>
      <c r="Z620" s="2"/>
    </row>
    <row r="621" ht="15.75" customHeight="1">
      <c r="A621" s="2"/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 s="2"/>
      <c r="O621" s="2"/>
      <c r="P621" s="2"/>
      <c r="Q621" s="2"/>
      <c r="R621" s="2"/>
      <c r="S621" s="2"/>
      <c r="T621" s="2"/>
      <c r="U621" s="2"/>
      <c r="V621" s="2"/>
      <c r="W621" s="2"/>
      <c r="X621" s="2"/>
      <c r="Y621" s="2"/>
      <c r="Z621" s="2"/>
    </row>
    <row r="622" ht="15.75" customHeight="1">
      <c r="A622" s="2"/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/>
      <c r="P622" s="2"/>
      <c r="Q622" s="2"/>
      <c r="R622" s="2"/>
      <c r="S622" s="2"/>
      <c r="T622" s="2"/>
      <c r="U622" s="2"/>
      <c r="V622" s="2"/>
      <c r="W622" s="2"/>
      <c r="X622" s="2"/>
      <c r="Y622" s="2"/>
      <c r="Z622" s="2"/>
    </row>
    <row r="623" ht="15.75" customHeight="1">
      <c r="A623" s="2"/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 s="2"/>
      <c r="O623" s="2"/>
      <c r="P623" s="2"/>
      <c r="Q623" s="2"/>
      <c r="R623" s="2"/>
      <c r="S623" s="2"/>
      <c r="T623" s="2"/>
      <c r="U623" s="2"/>
      <c r="V623" s="2"/>
      <c r="W623" s="2"/>
      <c r="X623" s="2"/>
      <c r="Y623" s="2"/>
      <c r="Z623" s="2"/>
    </row>
    <row r="624" ht="15.75" customHeight="1">
      <c r="A624" s="2"/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 s="2"/>
      <c r="O624" s="2"/>
      <c r="P624" s="2"/>
      <c r="Q624" s="2"/>
      <c r="R624" s="2"/>
      <c r="S624" s="2"/>
      <c r="T624" s="2"/>
      <c r="U624" s="2"/>
      <c r="V624" s="2"/>
      <c r="W624" s="2"/>
      <c r="X624" s="2"/>
      <c r="Y624" s="2"/>
      <c r="Z624" s="2"/>
    </row>
    <row r="625" ht="15.75" customHeight="1">
      <c r="A625" s="2"/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 s="2"/>
      <c r="O625" s="2"/>
      <c r="P625" s="2"/>
      <c r="Q625" s="2"/>
      <c r="R625" s="2"/>
      <c r="S625" s="2"/>
      <c r="T625" s="2"/>
      <c r="U625" s="2"/>
      <c r="V625" s="2"/>
      <c r="W625" s="2"/>
      <c r="X625" s="2"/>
      <c r="Y625" s="2"/>
      <c r="Z625" s="2"/>
    </row>
    <row r="626" ht="15.75" customHeight="1">
      <c r="A626" s="2"/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 s="2"/>
      <c r="O626" s="2"/>
      <c r="P626" s="2"/>
      <c r="Q626" s="2"/>
      <c r="R626" s="2"/>
      <c r="S626" s="2"/>
      <c r="T626" s="2"/>
      <c r="U626" s="2"/>
      <c r="V626" s="2"/>
      <c r="W626" s="2"/>
      <c r="X626" s="2"/>
      <c r="Y626" s="2"/>
      <c r="Z626" s="2"/>
    </row>
    <row r="627" ht="15.75" customHeight="1">
      <c r="A627" s="2"/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 s="2"/>
      <c r="O627" s="2"/>
      <c r="P627" s="2"/>
      <c r="Q627" s="2"/>
      <c r="R627" s="2"/>
      <c r="S627" s="2"/>
      <c r="T627" s="2"/>
      <c r="U627" s="2"/>
      <c r="V627" s="2"/>
      <c r="W627" s="2"/>
      <c r="X627" s="2"/>
      <c r="Y627" s="2"/>
      <c r="Z627" s="2"/>
    </row>
    <row r="628" ht="15.75" customHeight="1">
      <c r="A628" s="2"/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 s="2"/>
      <c r="O628" s="2"/>
      <c r="P628" s="2"/>
      <c r="Q628" s="2"/>
      <c r="R628" s="2"/>
      <c r="S628" s="2"/>
      <c r="T628" s="2"/>
      <c r="U628" s="2"/>
      <c r="V628" s="2"/>
      <c r="W628" s="2"/>
      <c r="X628" s="2"/>
      <c r="Y628" s="2"/>
      <c r="Z628" s="2"/>
    </row>
    <row r="629" ht="15.75" customHeight="1">
      <c r="A629" s="2"/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 s="2"/>
      <c r="O629" s="2"/>
      <c r="P629" s="2"/>
      <c r="Q629" s="2"/>
      <c r="R629" s="2"/>
      <c r="S629" s="2"/>
      <c r="T629" s="2"/>
      <c r="U629" s="2"/>
      <c r="V629" s="2"/>
      <c r="W629" s="2"/>
      <c r="X629" s="2"/>
      <c r="Y629" s="2"/>
      <c r="Z629" s="2"/>
    </row>
    <row r="630" ht="15.75" customHeight="1">
      <c r="A630" s="2"/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 s="2"/>
      <c r="O630" s="2"/>
      <c r="P630" s="2"/>
      <c r="Q630" s="2"/>
      <c r="R630" s="2"/>
      <c r="S630" s="2"/>
      <c r="T630" s="2"/>
      <c r="U630" s="2"/>
      <c r="V630" s="2"/>
      <c r="W630" s="2"/>
      <c r="X630" s="2"/>
      <c r="Y630" s="2"/>
      <c r="Z630" s="2"/>
    </row>
    <row r="631" ht="15.75" customHeight="1">
      <c r="A631" s="2"/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 s="2"/>
      <c r="O631" s="2"/>
      <c r="P631" s="2"/>
      <c r="Q631" s="2"/>
      <c r="R631" s="2"/>
      <c r="S631" s="2"/>
      <c r="T631" s="2"/>
      <c r="U631" s="2"/>
      <c r="V631" s="2"/>
      <c r="W631" s="2"/>
      <c r="X631" s="2"/>
      <c r="Y631" s="2"/>
      <c r="Z631" s="2"/>
    </row>
    <row r="632" ht="15.75" customHeight="1">
      <c r="A632" s="2"/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 s="2"/>
      <c r="O632" s="2"/>
      <c r="P632" s="2"/>
      <c r="Q632" s="2"/>
      <c r="R632" s="2"/>
      <c r="S632" s="2"/>
      <c r="T632" s="2"/>
      <c r="U632" s="2"/>
      <c r="V632" s="2"/>
      <c r="W632" s="2"/>
      <c r="X632" s="2"/>
      <c r="Y632" s="2"/>
      <c r="Z632" s="2"/>
    </row>
    <row r="633" ht="15.75" customHeight="1">
      <c r="A633" s="2"/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 s="2"/>
      <c r="O633" s="2"/>
      <c r="P633" s="2"/>
      <c r="Q633" s="2"/>
      <c r="R633" s="2"/>
      <c r="S633" s="2"/>
      <c r="T633" s="2"/>
      <c r="U633" s="2"/>
      <c r="V633" s="2"/>
      <c r="W633" s="2"/>
      <c r="X633" s="2"/>
      <c r="Y633" s="2"/>
      <c r="Z633" s="2"/>
    </row>
    <row r="634" ht="15.75" customHeight="1">
      <c r="A634" s="2"/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 s="2"/>
      <c r="O634" s="2"/>
      <c r="P634" s="2"/>
      <c r="Q634" s="2"/>
      <c r="R634" s="2"/>
      <c r="S634" s="2"/>
      <c r="T634" s="2"/>
      <c r="U634" s="2"/>
      <c r="V634" s="2"/>
      <c r="W634" s="2"/>
      <c r="X634" s="2"/>
      <c r="Y634" s="2"/>
      <c r="Z634" s="2"/>
    </row>
    <row r="635" ht="15.75" customHeight="1">
      <c r="A635" s="2"/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 s="2"/>
      <c r="O635" s="2"/>
      <c r="P635" s="2"/>
      <c r="Q635" s="2"/>
      <c r="R635" s="2"/>
      <c r="S635" s="2"/>
      <c r="T635" s="2"/>
      <c r="U635" s="2"/>
      <c r="V635" s="2"/>
      <c r="W635" s="2"/>
      <c r="X635" s="2"/>
      <c r="Y635" s="2"/>
      <c r="Z635" s="2"/>
    </row>
    <row r="636" ht="15.75" customHeight="1">
      <c r="A636" s="2"/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 s="2"/>
      <c r="O636" s="2"/>
      <c r="P636" s="2"/>
      <c r="Q636" s="2"/>
      <c r="R636" s="2"/>
      <c r="S636" s="2"/>
      <c r="T636" s="2"/>
      <c r="U636" s="2"/>
      <c r="V636" s="2"/>
      <c r="W636" s="2"/>
      <c r="X636" s="2"/>
      <c r="Y636" s="2"/>
      <c r="Z636" s="2"/>
    </row>
    <row r="637" ht="15.75" customHeight="1">
      <c r="A637" s="2"/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 s="2"/>
      <c r="O637" s="2"/>
      <c r="P637" s="2"/>
      <c r="Q637" s="2"/>
      <c r="R637" s="2"/>
      <c r="S637" s="2"/>
      <c r="T637" s="2"/>
      <c r="U637" s="2"/>
      <c r="V637" s="2"/>
      <c r="W637" s="2"/>
      <c r="X637" s="2"/>
      <c r="Y637" s="2"/>
      <c r="Z637" s="2"/>
    </row>
    <row r="638" ht="15.75" customHeight="1">
      <c r="A638" s="2"/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 s="2"/>
      <c r="O638" s="2"/>
      <c r="P638" s="2"/>
      <c r="Q638" s="2"/>
      <c r="R638" s="2"/>
      <c r="S638" s="2"/>
      <c r="T638" s="2"/>
      <c r="U638" s="2"/>
      <c r="V638" s="2"/>
      <c r="W638" s="2"/>
      <c r="X638" s="2"/>
      <c r="Y638" s="2"/>
      <c r="Z638" s="2"/>
    </row>
    <row r="639" ht="15.75" customHeight="1">
      <c r="A639" s="2"/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 s="2"/>
      <c r="O639" s="2"/>
      <c r="P639" s="2"/>
      <c r="Q639" s="2"/>
      <c r="R639" s="2"/>
      <c r="S639" s="2"/>
      <c r="T639" s="2"/>
      <c r="U639" s="2"/>
      <c r="V639" s="2"/>
      <c r="W639" s="2"/>
      <c r="X639" s="2"/>
      <c r="Y639" s="2"/>
      <c r="Z639" s="2"/>
    </row>
    <row r="640" ht="15.75" customHeight="1">
      <c r="A640" s="2"/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 s="2"/>
      <c r="O640" s="2"/>
      <c r="P640" s="2"/>
      <c r="Q640" s="2"/>
      <c r="R640" s="2"/>
      <c r="S640" s="2"/>
      <c r="T640" s="2"/>
      <c r="U640" s="2"/>
      <c r="V640" s="2"/>
      <c r="W640" s="2"/>
      <c r="X640" s="2"/>
      <c r="Y640" s="2"/>
      <c r="Z640" s="2"/>
    </row>
    <row r="641" ht="15.75" customHeight="1">
      <c r="A641" s="2"/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 s="2"/>
      <c r="O641" s="2"/>
      <c r="P641" s="2"/>
      <c r="Q641" s="2"/>
      <c r="R641" s="2"/>
      <c r="S641" s="2"/>
      <c r="T641" s="2"/>
      <c r="U641" s="2"/>
      <c r="V641" s="2"/>
      <c r="W641" s="2"/>
      <c r="X641" s="2"/>
      <c r="Y641" s="2"/>
      <c r="Z641" s="2"/>
    </row>
    <row r="642" ht="15.75" customHeight="1">
      <c r="A642" s="2"/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 s="2"/>
      <c r="O642" s="2"/>
      <c r="P642" s="2"/>
      <c r="Q642" s="2"/>
      <c r="R642" s="2"/>
      <c r="S642" s="2"/>
      <c r="T642" s="2"/>
      <c r="U642" s="2"/>
      <c r="V642" s="2"/>
      <c r="W642" s="2"/>
      <c r="X642" s="2"/>
      <c r="Y642" s="2"/>
      <c r="Z642" s="2"/>
    </row>
    <row r="643" ht="15.75" customHeight="1">
      <c r="A643" s="2"/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/>
      <c r="P643" s="2"/>
      <c r="Q643" s="2"/>
      <c r="R643" s="2"/>
      <c r="S643" s="2"/>
      <c r="T643" s="2"/>
      <c r="U643" s="2"/>
      <c r="V643" s="2"/>
      <c r="W643" s="2"/>
      <c r="X643" s="2"/>
      <c r="Y643" s="2"/>
      <c r="Z643" s="2"/>
    </row>
    <row r="644" ht="15.75" customHeight="1">
      <c r="A644" s="2"/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/>
      <c r="P644" s="2"/>
      <c r="Q644" s="2"/>
      <c r="R644" s="2"/>
      <c r="S644" s="2"/>
      <c r="T644" s="2"/>
      <c r="U644" s="2"/>
      <c r="V644" s="2"/>
      <c r="W644" s="2"/>
      <c r="X644" s="2"/>
      <c r="Y644" s="2"/>
      <c r="Z644" s="2"/>
    </row>
    <row r="645" ht="15.75" customHeight="1">
      <c r="A645" s="2"/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 s="2"/>
      <c r="O645" s="2"/>
      <c r="P645" s="2"/>
      <c r="Q645" s="2"/>
      <c r="R645" s="2"/>
      <c r="S645" s="2"/>
      <c r="T645" s="2"/>
      <c r="U645" s="2"/>
      <c r="V645" s="2"/>
      <c r="W645" s="2"/>
      <c r="X645" s="2"/>
      <c r="Y645" s="2"/>
      <c r="Z645" s="2"/>
    </row>
    <row r="646" ht="15.75" customHeight="1">
      <c r="A646" s="2"/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 s="2"/>
      <c r="O646" s="2"/>
      <c r="P646" s="2"/>
      <c r="Q646" s="2"/>
      <c r="R646" s="2"/>
      <c r="S646" s="2"/>
      <c r="T646" s="2"/>
      <c r="U646" s="2"/>
      <c r="V646" s="2"/>
      <c r="W646" s="2"/>
      <c r="X646" s="2"/>
      <c r="Y646" s="2"/>
      <c r="Z646" s="2"/>
    </row>
    <row r="647" ht="15.75" customHeight="1">
      <c r="A647" s="2"/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 s="2"/>
      <c r="O647" s="2"/>
      <c r="P647" s="2"/>
      <c r="Q647" s="2"/>
      <c r="R647" s="2"/>
      <c r="S647" s="2"/>
      <c r="T647" s="2"/>
      <c r="U647" s="2"/>
      <c r="V647" s="2"/>
      <c r="W647" s="2"/>
      <c r="X647" s="2"/>
      <c r="Y647" s="2"/>
      <c r="Z647" s="2"/>
    </row>
    <row r="648" ht="15.75" customHeight="1">
      <c r="A648" s="2"/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/>
      <c r="P648" s="2"/>
      <c r="Q648" s="2"/>
      <c r="R648" s="2"/>
      <c r="S648" s="2"/>
      <c r="T648" s="2"/>
      <c r="U648" s="2"/>
      <c r="V648" s="2"/>
      <c r="W648" s="2"/>
      <c r="X648" s="2"/>
      <c r="Y648" s="2"/>
      <c r="Z648" s="2"/>
    </row>
    <row r="649" ht="15.75" customHeight="1">
      <c r="A649" s="2"/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 s="2"/>
      <c r="O649" s="2"/>
      <c r="P649" s="2"/>
      <c r="Q649" s="2"/>
      <c r="R649" s="2"/>
      <c r="S649" s="2"/>
      <c r="T649" s="2"/>
      <c r="U649" s="2"/>
      <c r="V649" s="2"/>
      <c r="W649" s="2"/>
      <c r="X649" s="2"/>
      <c r="Y649" s="2"/>
      <c r="Z649" s="2"/>
    </row>
    <row r="650" ht="15.75" customHeight="1">
      <c r="A650" s="2"/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 s="2"/>
      <c r="O650" s="2"/>
      <c r="P650" s="2"/>
      <c r="Q650" s="2"/>
      <c r="R650" s="2"/>
      <c r="S650" s="2"/>
      <c r="T650" s="2"/>
      <c r="U650" s="2"/>
      <c r="V650" s="2"/>
      <c r="W650" s="2"/>
      <c r="X650" s="2"/>
      <c r="Y650" s="2"/>
      <c r="Z650" s="2"/>
    </row>
    <row r="651" ht="15.75" customHeight="1">
      <c r="A651" s="2"/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 s="2"/>
      <c r="O651" s="2"/>
      <c r="P651" s="2"/>
      <c r="Q651" s="2"/>
      <c r="R651" s="2"/>
      <c r="S651" s="2"/>
      <c r="T651" s="2"/>
      <c r="U651" s="2"/>
      <c r="V651" s="2"/>
      <c r="W651" s="2"/>
      <c r="X651" s="2"/>
      <c r="Y651" s="2"/>
      <c r="Z651" s="2"/>
    </row>
    <row r="652" ht="15.75" customHeight="1">
      <c r="A652" s="2"/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 s="2"/>
      <c r="O652" s="2"/>
      <c r="P652" s="2"/>
      <c r="Q652" s="2"/>
      <c r="R652" s="2"/>
      <c r="S652" s="2"/>
      <c r="T652" s="2"/>
      <c r="U652" s="2"/>
      <c r="V652" s="2"/>
      <c r="W652" s="2"/>
      <c r="X652" s="2"/>
      <c r="Y652" s="2"/>
      <c r="Z652" s="2"/>
    </row>
    <row r="653" ht="15.75" customHeight="1">
      <c r="A653" s="2"/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 s="2"/>
      <c r="O653" s="2"/>
      <c r="P653" s="2"/>
      <c r="Q653" s="2"/>
      <c r="R653" s="2"/>
      <c r="S653" s="2"/>
      <c r="T653" s="2"/>
      <c r="U653" s="2"/>
      <c r="V653" s="2"/>
      <c r="W653" s="2"/>
      <c r="X653" s="2"/>
      <c r="Y653" s="2"/>
      <c r="Z653" s="2"/>
    </row>
    <row r="654" ht="15.75" customHeight="1">
      <c r="A654" s="2"/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 s="2"/>
      <c r="O654" s="2"/>
      <c r="P654" s="2"/>
      <c r="Q654" s="2"/>
      <c r="R654" s="2"/>
      <c r="S654" s="2"/>
      <c r="T654" s="2"/>
      <c r="U654" s="2"/>
      <c r="V654" s="2"/>
      <c r="W654" s="2"/>
      <c r="X654" s="2"/>
      <c r="Y654" s="2"/>
      <c r="Z654" s="2"/>
    </row>
    <row r="655" ht="15.75" customHeight="1">
      <c r="A655" s="2"/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 s="2"/>
      <c r="O655" s="2"/>
      <c r="P655" s="2"/>
      <c r="Q655" s="2"/>
      <c r="R655" s="2"/>
      <c r="S655" s="2"/>
      <c r="T655" s="2"/>
      <c r="U655" s="2"/>
      <c r="V655" s="2"/>
      <c r="W655" s="2"/>
      <c r="X655" s="2"/>
      <c r="Y655" s="2"/>
      <c r="Z655" s="2"/>
    </row>
    <row r="656" ht="15.75" customHeight="1">
      <c r="A656" s="2"/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 s="2"/>
      <c r="O656" s="2"/>
      <c r="P656" s="2"/>
      <c r="Q656" s="2"/>
      <c r="R656" s="2"/>
      <c r="S656" s="2"/>
      <c r="T656" s="2"/>
      <c r="U656" s="2"/>
      <c r="V656" s="2"/>
      <c r="W656" s="2"/>
      <c r="X656" s="2"/>
      <c r="Y656" s="2"/>
      <c r="Z656" s="2"/>
    </row>
    <row r="657" ht="15.75" customHeight="1">
      <c r="A657" s="2"/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 s="2"/>
      <c r="O657" s="2"/>
      <c r="P657" s="2"/>
      <c r="Q657" s="2"/>
      <c r="R657" s="2"/>
      <c r="S657" s="2"/>
      <c r="T657" s="2"/>
      <c r="U657" s="2"/>
      <c r="V657" s="2"/>
      <c r="W657" s="2"/>
      <c r="X657" s="2"/>
      <c r="Y657" s="2"/>
      <c r="Z657" s="2"/>
    </row>
    <row r="658" ht="15.75" customHeight="1">
      <c r="A658" s="2"/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 s="2"/>
      <c r="O658" s="2"/>
      <c r="P658" s="2"/>
      <c r="Q658" s="2"/>
      <c r="R658" s="2"/>
      <c r="S658" s="2"/>
      <c r="T658" s="2"/>
      <c r="U658" s="2"/>
      <c r="V658" s="2"/>
      <c r="W658" s="2"/>
      <c r="X658" s="2"/>
      <c r="Y658" s="2"/>
      <c r="Z658" s="2"/>
    </row>
    <row r="659" ht="15.75" customHeight="1">
      <c r="A659" s="2"/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 s="2"/>
      <c r="O659" s="2"/>
      <c r="P659" s="2"/>
      <c r="Q659" s="2"/>
      <c r="R659" s="2"/>
      <c r="S659" s="2"/>
      <c r="T659" s="2"/>
      <c r="U659" s="2"/>
      <c r="V659" s="2"/>
      <c r="W659" s="2"/>
      <c r="X659" s="2"/>
      <c r="Y659" s="2"/>
      <c r="Z659" s="2"/>
    </row>
    <row r="660" ht="15.75" customHeight="1">
      <c r="A660" s="2"/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 s="2"/>
      <c r="O660" s="2"/>
      <c r="P660" s="2"/>
      <c r="Q660" s="2"/>
      <c r="R660" s="2"/>
      <c r="S660" s="2"/>
      <c r="T660" s="2"/>
      <c r="U660" s="2"/>
      <c r="V660" s="2"/>
      <c r="W660" s="2"/>
      <c r="X660" s="2"/>
      <c r="Y660" s="2"/>
      <c r="Z660" s="2"/>
    </row>
    <row r="661" ht="15.75" customHeight="1">
      <c r="A661" s="2"/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 s="2"/>
      <c r="O661" s="2"/>
      <c r="P661" s="2"/>
      <c r="Q661" s="2"/>
      <c r="R661" s="2"/>
      <c r="S661" s="2"/>
      <c r="T661" s="2"/>
      <c r="U661" s="2"/>
      <c r="V661" s="2"/>
      <c r="W661" s="2"/>
      <c r="X661" s="2"/>
      <c r="Y661" s="2"/>
      <c r="Z661" s="2"/>
    </row>
    <row r="662" ht="15.75" customHeight="1">
      <c r="A662" s="2"/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 s="2"/>
      <c r="O662" s="2"/>
      <c r="P662" s="2"/>
      <c r="Q662" s="2"/>
      <c r="R662" s="2"/>
      <c r="S662" s="2"/>
      <c r="T662" s="2"/>
      <c r="U662" s="2"/>
      <c r="V662" s="2"/>
      <c r="W662" s="2"/>
      <c r="X662" s="2"/>
      <c r="Y662" s="2"/>
      <c r="Z662" s="2"/>
    </row>
    <row r="663" ht="15.75" customHeight="1">
      <c r="A663" s="2"/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 s="2"/>
      <c r="O663" s="2"/>
      <c r="P663" s="2"/>
      <c r="Q663" s="2"/>
      <c r="R663" s="2"/>
      <c r="S663" s="2"/>
      <c r="T663" s="2"/>
      <c r="U663" s="2"/>
      <c r="V663" s="2"/>
      <c r="W663" s="2"/>
      <c r="X663" s="2"/>
      <c r="Y663" s="2"/>
      <c r="Z663" s="2"/>
    </row>
    <row r="664" ht="15.75" customHeight="1">
      <c r="A664" s="2"/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 s="2"/>
      <c r="O664" s="2"/>
      <c r="P664" s="2"/>
      <c r="Q664" s="2"/>
      <c r="R664" s="2"/>
      <c r="S664" s="2"/>
      <c r="T664" s="2"/>
      <c r="U664" s="2"/>
      <c r="V664" s="2"/>
      <c r="W664" s="2"/>
      <c r="X664" s="2"/>
      <c r="Y664" s="2"/>
      <c r="Z664" s="2"/>
    </row>
    <row r="665" ht="15.75" customHeight="1">
      <c r="A665" s="2"/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 s="2"/>
      <c r="O665" s="2"/>
      <c r="P665" s="2"/>
      <c r="Q665" s="2"/>
      <c r="R665" s="2"/>
      <c r="S665" s="2"/>
      <c r="T665" s="2"/>
      <c r="U665" s="2"/>
      <c r="V665" s="2"/>
      <c r="W665" s="2"/>
      <c r="X665" s="2"/>
      <c r="Y665" s="2"/>
      <c r="Z665" s="2"/>
    </row>
    <row r="666" ht="15.75" customHeight="1">
      <c r="A666" s="2"/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 s="2"/>
      <c r="O666" s="2"/>
      <c r="P666" s="2"/>
      <c r="Q666" s="2"/>
      <c r="R666" s="2"/>
      <c r="S666" s="2"/>
      <c r="T666" s="2"/>
      <c r="U666" s="2"/>
      <c r="V666" s="2"/>
      <c r="W666" s="2"/>
      <c r="X666" s="2"/>
      <c r="Y666" s="2"/>
      <c r="Z666" s="2"/>
    </row>
    <row r="667" ht="15.75" customHeight="1">
      <c r="A667" s="2"/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 s="2"/>
      <c r="O667" s="2"/>
      <c r="P667" s="2"/>
      <c r="Q667" s="2"/>
      <c r="R667" s="2"/>
      <c r="S667" s="2"/>
      <c r="T667" s="2"/>
      <c r="U667" s="2"/>
      <c r="V667" s="2"/>
      <c r="W667" s="2"/>
      <c r="X667" s="2"/>
      <c r="Y667" s="2"/>
      <c r="Z667" s="2"/>
    </row>
    <row r="668" ht="15.75" customHeight="1">
      <c r="A668" s="2"/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 s="2"/>
      <c r="O668" s="2"/>
      <c r="P668" s="2"/>
      <c r="Q668" s="2"/>
      <c r="R668" s="2"/>
      <c r="S668" s="2"/>
      <c r="T668" s="2"/>
      <c r="U668" s="2"/>
      <c r="V668" s="2"/>
      <c r="W668" s="2"/>
      <c r="X668" s="2"/>
      <c r="Y668" s="2"/>
      <c r="Z668" s="2"/>
    </row>
    <row r="669" ht="15.75" customHeight="1">
      <c r="A669" s="2"/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 s="2"/>
      <c r="O669" s="2"/>
      <c r="P669" s="2"/>
      <c r="Q669" s="2"/>
      <c r="R669" s="2"/>
      <c r="S669" s="2"/>
      <c r="T669" s="2"/>
      <c r="U669" s="2"/>
      <c r="V669" s="2"/>
      <c r="W669" s="2"/>
      <c r="X669" s="2"/>
      <c r="Y669" s="2"/>
      <c r="Z669" s="2"/>
    </row>
    <row r="670" ht="15.75" customHeight="1">
      <c r="A670" s="2"/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 s="2"/>
      <c r="O670" s="2"/>
      <c r="P670" s="2"/>
      <c r="Q670" s="2"/>
      <c r="R670" s="2"/>
      <c r="S670" s="2"/>
      <c r="T670" s="2"/>
      <c r="U670" s="2"/>
      <c r="V670" s="2"/>
      <c r="W670" s="2"/>
      <c r="X670" s="2"/>
      <c r="Y670" s="2"/>
      <c r="Z670" s="2"/>
    </row>
    <row r="671" ht="15.75" customHeight="1">
      <c r="A671" s="2"/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 s="2"/>
      <c r="O671" s="2"/>
      <c r="P671" s="2"/>
      <c r="Q671" s="2"/>
      <c r="R671" s="2"/>
      <c r="S671" s="2"/>
      <c r="T671" s="2"/>
      <c r="U671" s="2"/>
      <c r="V671" s="2"/>
      <c r="W671" s="2"/>
      <c r="X671" s="2"/>
      <c r="Y671" s="2"/>
      <c r="Z671" s="2"/>
    </row>
    <row r="672" ht="15.75" customHeight="1">
      <c r="A672" s="2"/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 s="2"/>
      <c r="O672" s="2"/>
      <c r="P672" s="2"/>
      <c r="Q672" s="2"/>
      <c r="R672" s="2"/>
      <c r="S672" s="2"/>
      <c r="T672" s="2"/>
      <c r="U672" s="2"/>
      <c r="V672" s="2"/>
      <c r="W672" s="2"/>
      <c r="X672" s="2"/>
      <c r="Y672" s="2"/>
      <c r="Z672" s="2"/>
    </row>
    <row r="673" ht="15.75" customHeight="1">
      <c r="A673" s="2"/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 s="2"/>
      <c r="O673" s="2"/>
      <c r="P673" s="2"/>
      <c r="Q673" s="2"/>
      <c r="R673" s="2"/>
      <c r="S673" s="2"/>
      <c r="T673" s="2"/>
      <c r="U673" s="2"/>
      <c r="V673" s="2"/>
      <c r="W673" s="2"/>
      <c r="X673" s="2"/>
      <c r="Y673" s="2"/>
      <c r="Z673" s="2"/>
    </row>
    <row r="674" ht="15.75" customHeight="1">
      <c r="A674" s="2"/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 s="2"/>
      <c r="O674" s="2"/>
      <c r="P674" s="2"/>
      <c r="Q674" s="2"/>
      <c r="R674" s="2"/>
      <c r="S674" s="2"/>
      <c r="T674" s="2"/>
      <c r="U674" s="2"/>
      <c r="V674" s="2"/>
      <c r="W674" s="2"/>
      <c r="X674" s="2"/>
      <c r="Y674" s="2"/>
      <c r="Z674" s="2"/>
    </row>
    <row r="675" ht="15.75" customHeight="1">
      <c r="A675" s="2"/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 s="2"/>
      <c r="O675" s="2"/>
      <c r="P675" s="2"/>
      <c r="Q675" s="2"/>
      <c r="R675" s="2"/>
      <c r="S675" s="2"/>
      <c r="T675" s="2"/>
      <c r="U675" s="2"/>
      <c r="V675" s="2"/>
      <c r="W675" s="2"/>
      <c r="X675" s="2"/>
      <c r="Y675" s="2"/>
      <c r="Z675" s="2"/>
    </row>
    <row r="676" ht="15.75" customHeight="1">
      <c r="A676" s="2"/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 s="2"/>
      <c r="O676" s="2"/>
      <c r="P676" s="2"/>
      <c r="Q676" s="2"/>
      <c r="R676" s="2"/>
      <c r="S676" s="2"/>
      <c r="T676" s="2"/>
      <c r="U676" s="2"/>
      <c r="V676" s="2"/>
      <c r="W676" s="2"/>
      <c r="X676" s="2"/>
      <c r="Y676" s="2"/>
      <c r="Z676" s="2"/>
    </row>
    <row r="677" ht="15.75" customHeight="1">
      <c r="A677" s="2"/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 s="2"/>
      <c r="O677" s="2"/>
      <c r="P677" s="2"/>
      <c r="Q677" s="2"/>
      <c r="R677" s="2"/>
      <c r="S677" s="2"/>
      <c r="T677" s="2"/>
      <c r="U677" s="2"/>
      <c r="V677" s="2"/>
      <c r="W677" s="2"/>
      <c r="X677" s="2"/>
      <c r="Y677" s="2"/>
      <c r="Z677" s="2"/>
    </row>
    <row r="678" ht="15.75" customHeight="1">
      <c r="A678" s="2"/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 s="2"/>
      <c r="O678" s="2"/>
      <c r="P678" s="2"/>
      <c r="Q678" s="2"/>
      <c r="R678" s="2"/>
      <c r="S678" s="2"/>
      <c r="T678" s="2"/>
      <c r="U678" s="2"/>
      <c r="V678" s="2"/>
      <c r="W678" s="2"/>
      <c r="X678" s="2"/>
      <c r="Y678" s="2"/>
      <c r="Z678" s="2"/>
    </row>
    <row r="679" ht="15.75" customHeight="1">
      <c r="A679" s="2"/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 s="2"/>
      <c r="O679" s="2"/>
      <c r="P679" s="2"/>
      <c r="Q679" s="2"/>
      <c r="R679" s="2"/>
      <c r="S679" s="2"/>
      <c r="T679" s="2"/>
      <c r="U679" s="2"/>
      <c r="V679" s="2"/>
      <c r="W679" s="2"/>
      <c r="X679" s="2"/>
      <c r="Y679" s="2"/>
      <c r="Z679" s="2"/>
    </row>
    <row r="680" ht="15.75" customHeight="1">
      <c r="A680" s="2"/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 s="2"/>
      <c r="O680" s="2"/>
      <c r="P680" s="2"/>
      <c r="Q680" s="2"/>
      <c r="R680" s="2"/>
      <c r="S680" s="2"/>
      <c r="T680" s="2"/>
      <c r="U680" s="2"/>
      <c r="V680" s="2"/>
      <c r="W680" s="2"/>
      <c r="X680" s="2"/>
      <c r="Y680" s="2"/>
      <c r="Z680" s="2"/>
    </row>
    <row r="681" ht="15.75" customHeight="1">
      <c r="A681" s="2"/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 s="2"/>
      <c r="O681" s="2"/>
      <c r="P681" s="2"/>
      <c r="Q681" s="2"/>
      <c r="R681" s="2"/>
      <c r="S681" s="2"/>
      <c r="T681" s="2"/>
      <c r="U681" s="2"/>
      <c r="V681" s="2"/>
      <c r="W681" s="2"/>
      <c r="X681" s="2"/>
      <c r="Y681" s="2"/>
      <c r="Z681" s="2"/>
    </row>
    <row r="682" ht="15.75" customHeight="1">
      <c r="A682" s="2"/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 s="2"/>
      <c r="O682" s="2"/>
      <c r="P682" s="2"/>
      <c r="Q682" s="2"/>
      <c r="R682" s="2"/>
      <c r="S682" s="2"/>
      <c r="T682" s="2"/>
      <c r="U682" s="2"/>
      <c r="V682" s="2"/>
      <c r="W682" s="2"/>
      <c r="X682" s="2"/>
      <c r="Y682" s="2"/>
      <c r="Z682" s="2"/>
    </row>
    <row r="683" ht="15.75" customHeight="1">
      <c r="A683" s="2"/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 s="2"/>
      <c r="O683" s="2"/>
      <c r="P683" s="2"/>
      <c r="Q683" s="2"/>
      <c r="R683" s="2"/>
      <c r="S683" s="2"/>
      <c r="T683" s="2"/>
      <c r="U683" s="2"/>
      <c r="V683" s="2"/>
      <c r="W683" s="2"/>
      <c r="X683" s="2"/>
      <c r="Y683" s="2"/>
      <c r="Z683" s="2"/>
    </row>
    <row r="684" ht="15.75" customHeight="1">
      <c r="A684" s="2"/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 s="2"/>
      <c r="O684" s="2"/>
      <c r="P684" s="2"/>
      <c r="Q684" s="2"/>
      <c r="R684" s="2"/>
      <c r="S684" s="2"/>
      <c r="T684" s="2"/>
      <c r="U684" s="2"/>
      <c r="V684" s="2"/>
      <c r="W684" s="2"/>
      <c r="X684" s="2"/>
      <c r="Y684" s="2"/>
      <c r="Z684" s="2"/>
    </row>
    <row r="685" ht="15.75" customHeight="1">
      <c r="A685" s="2"/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 s="2"/>
      <c r="O685" s="2"/>
      <c r="P685" s="2"/>
      <c r="Q685" s="2"/>
      <c r="R685" s="2"/>
      <c r="S685" s="2"/>
      <c r="T685" s="2"/>
      <c r="U685" s="2"/>
      <c r="V685" s="2"/>
      <c r="W685" s="2"/>
      <c r="X685" s="2"/>
      <c r="Y685" s="2"/>
      <c r="Z685" s="2"/>
    </row>
    <row r="686" ht="15.75" customHeight="1">
      <c r="A686" s="2"/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/>
      <c r="P686" s="2"/>
      <c r="Q686" s="2"/>
      <c r="R686" s="2"/>
      <c r="S686" s="2"/>
      <c r="T686" s="2"/>
      <c r="U686" s="2"/>
      <c r="V686" s="2"/>
      <c r="W686" s="2"/>
      <c r="X686" s="2"/>
      <c r="Y686" s="2"/>
      <c r="Z686" s="2"/>
    </row>
    <row r="687" ht="15.75" customHeight="1">
      <c r="A687" s="2"/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/>
      <c r="P687" s="2"/>
      <c r="Q687" s="2"/>
      <c r="R687" s="2"/>
      <c r="S687" s="2"/>
      <c r="T687" s="2"/>
      <c r="U687" s="2"/>
      <c r="V687" s="2"/>
      <c r="W687" s="2"/>
      <c r="X687" s="2"/>
      <c r="Y687" s="2"/>
      <c r="Z687" s="2"/>
    </row>
    <row r="688" ht="15.75" customHeight="1">
      <c r="A688" s="2"/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/>
      <c r="P688" s="2"/>
      <c r="Q688" s="2"/>
      <c r="R688" s="2"/>
      <c r="S688" s="2"/>
      <c r="T688" s="2"/>
      <c r="U688" s="2"/>
      <c r="V688" s="2"/>
      <c r="W688" s="2"/>
      <c r="X688" s="2"/>
      <c r="Y688" s="2"/>
      <c r="Z688" s="2"/>
    </row>
    <row r="689" ht="15.75" customHeight="1">
      <c r="A689" s="2"/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 s="2"/>
      <c r="O689" s="2"/>
      <c r="P689" s="2"/>
      <c r="Q689" s="2"/>
      <c r="R689" s="2"/>
      <c r="S689" s="2"/>
      <c r="T689" s="2"/>
      <c r="U689" s="2"/>
      <c r="V689" s="2"/>
      <c r="W689" s="2"/>
      <c r="X689" s="2"/>
      <c r="Y689" s="2"/>
      <c r="Z689" s="2"/>
    </row>
    <row r="690" ht="15.75" customHeight="1">
      <c r="A690" s="2"/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/>
      <c r="P690" s="2"/>
      <c r="Q690" s="2"/>
      <c r="R690" s="2"/>
      <c r="S690" s="2"/>
      <c r="T690" s="2"/>
      <c r="U690" s="2"/>
      <c r="V690" s="2"/>
      <c r="W690" s="2"/>
      <c r="X690" s="2"/>
      <c r="Y690" s="2"/>
      <c r="Z690" s="2"/>
    </row>
    <row r="691" ht="15.75" customHeight="1">
      <c r="A691" s="2"/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 s="2"/>
      <c r="O691" s="2"/>
      <c r="P691" s="2"/>
      <c r="Q691" s="2"/>
      <c r="R691" s="2"/>
      <c r="S691" s="2"/>
      <c r="T691" s="2"/>
      <c r="U691" s="2"/>
      <c r="V691" s="2"/>
      <c r="W691" s="2"/>
      <c r="X691" s="2"/>
      <c r="Y691" s="2"/>
      <c r="Z691" s="2"/>
    </row>
    <row r="692" ht="15.75" customHeight="1">
      <c r="A692" s="2"/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/>
      <c r="P692" s="2"/>
      <c r="Q692" s="2"/>
      <c r="R692" s="2"/>
      <c r="S692" s="2"/>
      <c r="T692" s="2"/>
      <c r="U692" s="2"/>
      <c r="V692" s="2"/>
      <c r="W692" s="2"/>
      <c r="X692" s="2"/>
      <c r="Y692" s="2"/>
      <c r="Z692" s="2"/>
    </row>
    <row r="693" ht="15.75" customHeight="1">
      <c r="A693" s="2"/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 s="2"/>
      <c r="O693" s="2"/>
      <c r="P693" s="2"/>
      <c r="Q693" s="2"/>
      <c r="R693" s="2"/>
      <c r="S693" s="2"/>
      <c r="T693" s="2"/>
      <c r="U693" s="2"/>
      <c r="V693" s="2"/>
      <c r="W693" s="2"/>
      <c r="X693" s="2"/>
      <c r="Y693" s="2"/>
      <c r="Z693" s="2"/>
    </row>
    <row r="694" ht="15.75" customHeight="1">
      <c r="A694" s="2"/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 s="2"/>
      <c r="O694" s="2"/>
      <c r="P694" s="2"/>
      <c r="Q694" s="2"/>
      <c r="R694" s="2"/>
      <c r="S694" s="2"/>
      <c r="T694" s="2"/>
      <c r="U694" s="2"/>
      <c r="V694" s="2"/>
      <c r="W694" s="2"/>
      <c r="X694" s="2"/>
      <c r="Y694" s="2"/>
      <c r="Z694" s="2"/>
    </row>
    <row r="695" ht="15.75" customHeight="1">
      <c r="A695" s="2"/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 s="2"/>
      <c r="O695" s="2"/>
      <c r="P695" s="2"/>
      <c r="Q695" s="2"/>
      <c r="R695" s="2"/>
      <c r="S695" s="2"/>
      <c r="T695" s="2"/>
      <c r="U695" s="2"/>
      <c r="V695" s="2"/>
      <c r="W695" s="2"/>
      <c r="X695" s="2"/>
      <c r="Y695" s="2"/>
      <c r="Z695" s="2"/>
    </row>
    <row r="696" ht="15.75" customHeight="1">
      <c r="A696" s="2"/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 s="2"/>
      <c r="O696" s="2"/>
      <c r="P696" s="2"/>
      <c r="Q696" s="2"/>
      <c r="R696" s="2"/>
      <c r="S696" s="2"/>
      <c r="T696" s="2"/>
      <c r="U696" s="2"/>
      <c r="V696" s="2"/>
      <c r="W696" s="2"/>
      <c r="X696" s="2"/>
      <c r="Y696" s="2"/>
      <c r="Z696" s="2"/>
    </row>
    <row r="697" ht="15.75" customHeight="1">
      <c r="A697" s="2"/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 s="2"/>
      <c r="O697" s="2"/>
      <c r="P697" s="2"/>
      <c r="Q697" s="2"/>
      <c r="R697" s="2"/>
      <c r="S697" s="2"/>
      <c r="T697" s="2"/>
      <c r="U697" s="2"/>
      <c r="V697" s="2"/>
      <c r="W697" s="2"/>
      <c r="X697" s="2"/>
      <c r="Y697" s="2"/>
      <c r="Z697" s="2"/>
    </row>
    <row r="698" ht="15.75" customHeight="1">
      <c r="A698" s="2"/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 s="2"/>
      <c r="O698" s="2"/>
      <c r="P698" s="2"/>
      <c r="Q698" s="2"/>
      <c r="R698" s="2"/>
      <c r="S698" s="2"/>
      <c r="T698" s="2"/>
      <c r="U698" s="2"/>
      <c r="V698" s="2"/>
      <c r="W698" s="2"/>
      <c r="X698" s="2"/>
      <c r="Y698" s="2"/>
      <c r="Z698" s="2"/>
    </row>
    <row r="699" ht="15.75" customHeight="1">
      <c r="A699" s="2"/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 s="2"/>
      <c r="O699" s="2"/>
      <c r="P699" s="2"/>
      <c r="Q699" s="2"/>
      <c r="R699" s="2"/>
      <c r="S699" s="2"/>
      <c r="T699" s="2"/>
      <c r="U699" s="2"/>
      <c r="V699" s="2"/>
      <c r="W699" s="2"/>
      <c r="X699" s="2"/>
      <c r="Y699" s="2"/>
      <c r="Z699" s="2"/>
    </row>
    <row r="700" ht="15.75" customHeight="1">
      <c r="A700" s="2"/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 s="2"/>
      <c r="O700" s="2"/>
      <c r="P700" s="2"/>
      <c r="Q700" s="2"/>
      <c r="R700" s="2"/>
      <c r="S700" s="2"/>
      <c r="T700" s="2"/>
      <c r="U700" s="2"/>
      <c r="V700" s="2"/>
      <c r="W700" s="2"/>
      <c r="X700" s="2"/>
      <c r="Y700" s="2"/>
      <c r="Z700" s="2"/>
    </row>
    <row r="701" ht="15.75" customHeight="1">
      <c r="A701" s="2"/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 s="2"/>
      <c r="O701" s="2"/>
      <c r="P701" s="2"/>
      <c r="Q701" s="2"/>
      <c r="R701" s="2"/>
      <c r="S701" s="2"/>
      <c r="T701" s="2"/>
      <c r="U701" s="2"/>
      <c r="V701" s="2"/>
      <c r="W701" s="2"/>
      <c r="X701" s="2"/>
      <c r="Y701" s="2"/>
      <c r="Z701" s="2"/>
    </row>
    <row r="702" ht="15.75" customHeight="1">
      <c r="A702" s="2"/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 s="2"/>
      <c r="O702" s="2"/>
      <c r="P702" s="2"/>
      <c r="Q702" s="2"/>
      <c r="R702" s="2"/>
      <c r="S702" s="2"/>
      <c r="T702" s="2"/>
      <c r="U702" s="2"/>
      <c r="V702" s="2"/>
      <c r="W702" s="2"/>
      <c r="X702" s="2"/>
      <c r="Y702" s="2"/>
      <c r="Z702" s="2"/>
    </row>
    <row r="703" ht="15.75" customHeight="1">
      <c r="A703" s="2"/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 s="2"/>
      <c r="O703" s="2"/>
      <c r="P703" s="2"/>
      <c r="Q703" s="2"/>
      <c r="R703" s="2"/>
      <c r="S703" s="2"/>
      <c r="T703" s="2"/>
      <c r="U703" s="2"/>
      <c r="V703" s="2"/>
      <c r="W703" s="2"/>
      <c r="X703" s="2"/>
      <c r="Y703" s="2"/>
      <c r="Z703" s="2"/>
    </row>
    <row r="704" ht="15.75" customHeight="1">
      <c r="A704" s="2"/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 s="2"/>
      <c r="O704" s="2"/>
      <c r="P704" s="2"/>
      <c r="Q704" s="2"/>
      <c r="R704" s="2"/>
      <c r="S704" s="2"/>
      <c r="T704" s="2"/>
      <c r="U704" s="2"/>
      <c r="V704" s="2"/>
      <c r="W704" s="2"/>
      <c r="X704" s="2"/>
      <c r="Y704" s="2"/>
      <c r="Z704" s="2"/>
    </row>
    <row r="705" ht="15.75" customHeight="1">
      <c r="A705" s="2"/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 s="2"/>
      <c r="O705" s="2"/>
      <c r="P705" s="2"/>
      <c r="Q705" s="2"/>
      <c r="R705" s="2"/>
      <c r="S705" s="2"/>
      <c r="T705" s="2"/>
      <c r="U705" s="2"/>
      <c r="V705" s="2"/>
      <c r="W705" s="2"/>
      <c r="X705" s="2"/>
      <c r="Y705" s="2"/>
      <c r="Z705" s="2"/>
    </row>
    <row r="706" ht="15.75" customHeight="1">
      <c r="A706" s="2"/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 s="2"/>
      <c r="O706" s="2"/>
      <c r="P706" s="2"/>
      <c r="Q706" s="2"/>
      <c r="R706" s="2"/>
      <c r="S706" s="2"/>
      <c r="T706" s="2"/>
      <c r="U706" s="2"/>
      <c r="V706" s="2"/>
      <c r="W706" s="2"/>
      <c r="X706" s="2"/>
      <c r="Y706" s="2"/>
      <c r="Z706" s="2"/>
    </row>
    <row r="707" ht="15.75" customHeight="1">
      <c r="A707" s="2"/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 s="2"/>
      <c r="O707" s="2"/>
      <c r="P707" s="2"/>
      <c r="Q707" s="2"/>
      <c r="R707" s="2"/>
      <c r="S707" s="2"/>
      <c r="T707" s="2"/>
      <c r="U707" s="2"/>
      <c r="V707" s="2"/>
      <c r="W707" s="2"/>
      <c r="X707" s="2"/>
      <c r="Y707" s="2"/>
      <c r="Z707" s="2"/>
    </row>
    <row r="708" ht="15.75" customHeight="1">
      <c r="A708" s="2"/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 s="2"/>
      <c r="O708" s="2"/>
      <c r="P708" s="2"/>
      <c r="Q708" s="2"/>
      <c r="R708" s="2"/>
      <c r="S708" s="2"/>
      <c r="T708" s="2"/>
      <c r="U708" s="2"/>
      <c r="V708" s="2"/>
      <c r="W708" s="2"/>
      <c r="X708" s="2"/>
      <c r="Y708" s="2"/>
      <c r="Z708" s="2"/>
    </row>
    <row r="709" ht="15.75" customHeight="1">
      <c r="A709" s="2"/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 s="2"/>
      <c r="O709" s="2"/>
      <c r="P709" s="2"/>
      <c r="Q709" s="2"/>
      <c r="R709" s="2"/>
      <c r="S709" s="2"/>
      <c r="T709" s="2"/>
      <c r="U709" s="2"/>
      <c r="V709" s="2"/>
      <c r="W709" s="2"/>
      <c r="X709" s="2"/>
      <c r="Y709" s="2"/>
      <c r="Z709" s="2"/>
    </row>
    <row r="710" ht="15.75" customHeight="1">
      <c r="A710" s="2"/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 s="2"/>
      <c r="O710" s="2"/>
      <c r="P710" s="2"/>
      <c r="Q710" s="2"/>
      <c r="R710" s="2"/>
      <c r="S710" s="2"/>
      <c r="T710" s="2"/>
      <c r="U710" s="2"/>
      <c r="V710" s="2"/>
      <c r="W710" s="2"/>
      <c r="X710" s="2"/>
      <c r="Y710" s="2"/>
      <c r="Z710" s="2"/>
    </row>
    <row r="711" ht="15.75" customHeight="1">
      <c r="A711" s="2"/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 s="2"/>
      <c r="O711" s="2"/>
      <c r="P711" s="2"/>
      <c r="Q711" s="2"/>
      <c r="R711" s="2"/>
      <c r="S711" s="2"/>
      <c r="T711" s="2"/>
      <c r="U711" s="2"/>
      <c r="V711" s="2"/>
      <c r="W711" s="2"/>
      <c r="X711" s="2"/>
      <c r="Y711" s="2"/>
      <c r="Z711" s="2"/>
    </row>
    <row r="712" ht="15.75" customHeight="1">
      <c r="A712" s="2"/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/>
      <c r="P712" s="2"/>
      <c r="Q712" s="2"/>
      <c r="R712" s="2"/>
      <c r="S712" s="2"/>
      <c r="T712" s="2"/>
      <c r="U712" s="2"/>
      <c r="V712" s="2"/>
      <c r="W712" s="2"/>
      <c r="X712" s="2"/>
      <c r="Y712" s="2"/>
      <c r="Z712" s="2"/>
    </row>
    <row r="713" ht="15.75" customHeight="1">
      <c r="A713" s="2"/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/>
      <c r="P713" s="2"/>
      <c r="Q713" s="2"/>
      <c r="R713" s="2"/>
      <c r="S713" s="2"/>
      <c r="T713" s="2"/>
      <c r="U713" s="2"/>
      <c r="V713" s="2"/>
      <c r="W713" s="2"/>
      <c r="X713" s="2"/>
      <c r="Y713" s="2"/>
      <c r="Z713" s="2"/>
    </row>
    <row r="714" ht="15.75" customHeight="1">
      <c r="A714" s="2"/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 s="2"/>
      <c r="O714" s="2"/>
      <c r="P714" s="2"/>
      <c r="Q714" s="2"/>
      <c r="R714" s="2"/>
      <c r="S714" s="2"/>
      <c r="T714" s="2"/>
      <c r="U714" s="2"/>
      <c r="V714" s="2"/>
      <c r="W714" s="2"/>
      <c r="X714" s="2"/>
      <c r="Y714" s="2"/>
      <c r="Z714" s="2"/>
    </row>
    <row r="715" ht="15.75" customHeight="1">
      <c r="A715" s="2"/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/>
      <c r="P715" s="2"/>
      <c r="Q715" s="2"/>
      <c r="R715" s="2"/>
      <c r="S715" s="2"/>
      <c r="T715" s="2"/>
      <c r="U715" s="2"/>
      <c r="V715" s="2"/>
      <c r="W715" s="2"/>
      <c r="X715" s="2"/>
      <c r="Y715" s="2"/>
      <c r="Z715" s="2"/>
    </row>
    <row r="716" ht="15.75" customHeight="1">
      <c r="A716" s="2"/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 s="2"/>
      <c r="O716" s="2"/>
      <c r="P716" s="2"/>
      <c r="Q716" s="2"/>
      <c r="R716" s="2"/>
      <c r="S716" s="2"/>
      <c r="T716" s="2"/>
      <c r="U716" s="2"/>
      <c r="V716" s="2"/>
      <c r="W716" s="2"/>
      <c r="X716" s="2"/>
      <c r="Y716" s="2"/>
      <c r="Z716" s="2"/>
    </row>
    <row r="717" ht="15.75" customHeight="1">
      <c r="A717" s="2"/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 s="2"/>
      <c r="O717" s="2"/>
      <c r="P717" s="2"/>
      <c r="Q717" s="2"/>
      <c r="R717" s="2"/>
      <c r="S717" s="2"/>
      <c r="T717" s="2"/>
      <c r="U717" s="2"/>
      <c r="V717" s="2"/>
      <c r="W717" s="2"/>
      <c r="X717" s="2"/>
      <c r="Y717" s="2"/>
      <c r="Z717" s="2"/>
    </row>
    <row r="718" ht="15.75" customHeight="1">
      <c r="A718" s="2"/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 s="2"/>
      <c r="O718" s="2"/>
      <c r="P718" s="2"/>
      <c r="Q718" s="2"/>
      <c r="R718" s="2"/>
      <c r="S718" s="2"/>
      <c r="T718" s="2"/>
      <c r="U718" s="2"/>
      <c r="V718" s="2"/>
      <c r="W718" s="2"/>
      <c r="X718" s="2"/>
      <c r="Y718" s="2"/>
      <c r="Z718" s="2"/>
    </row>
    <row r="719" ht="15.75" customHeight="1">
      <c r="A719" s="2"/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 s="2"/>
      <c r="O719" s="2"/>
      <c r="P719" s="2"/>
      <c r="Q719" s="2"/>
      <c r="R719" s="2"/>
      <c r="S719" s="2"/>
      <c r="T719" s="2"/>
      <c r="U719" s="2"/>
      <c r="V719" s="2"/>
      <c r="W719" s="2"/>
      <c r="X719" s="2"/>
      <c r="Y719" s="2"/>
      <c r="Z719" s="2"/>
    </row>
    <row r="720" ht="15.75" customHeight="1">
      <c r="A720" s="2"/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 s="2"/>
      <c r="O720" s="2"/>
      <c r="P720" s="2"/>
      <c r="Q720" s="2"/>
      <c r="R720" s="2"/>
      <c r="S720" s="2"/>
      <c r="T720" s="2"/>
      <c r="U720" s="2"/>
      <c r="V720" s="2"/>
      <c r="W720" s="2"/>
      <c r="X720" s="2"/>
      <c r="Y720" s="2"/>
      <c r="Z720" s="2"/>
    </row>
    <row r="721" ht="15.75" customHeight="1">
      <c r="A721" s="2"/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 s="2"/>
      <c r="O721" s="2"/>
      <c r="P721" s="2"/>
      <c r="Q721" s="2"/>
      <c r="R721" s="2"/>
      <c r="S721" s="2"/>
      <c r="T721" s="2"/>
      <c r="U721" s="2"/>
      <c r="V721" s="2"/>
      <c r="W721" s="2"/>
      <c r="X721" s="2"/>
      <c r="Y721" s="2"/>
      <c r="Z721" s="2"/>
    </row>
    <row r="722" ht="15.75" customHeight="1">
      <c r="A722" s="2"/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 s="2"/>
      <c r="O722" s="2"/>
      <c r="P722" s="2"/>
      <c r="Q722" s="2"/>
      <c r="R722" s="2"/>
      <c r="S722" s="2"/>
      <c r="T722" s="2"/>
      <c r="U722" s="2"/>
      <c r="V722" s="2"/>
      <c r="W722" s="2"/>
      <c r="X722" s="2"/>
      <c r="Y722" s="2"/>
      <c r="Z722" s="2"/>
    </row>
    <row r="723" ht="15.75" customHeight="1">
      <c r="A723" s="2"/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 s="2"/>
      <c r="O723" s="2"/>
      <c r="P723" s="2"/>
      <c r="Q723" s="2"/>
      <c r="R723" s="2"/>
      <c r="S723" s="2"/>
      <c r="T723" s="2"/>
      <c r="U723" s="2"/>
      <c r="V723" s="2"/>
      <c r="W723" s="2"/>
      <c r="X723" s="2"/>
      <c r="Y723" s="2"/>
      <c r="Z723" s="2"/>
    </row>
    <row r="724" ht="15.75" customHeight="1">
      <c r="A724" s="2"/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 s="2"/>
      <c r="O724" s="2"/>
      <c r="P724" s="2"/>
      <c r="Q724" s="2"/>
      <c r="R724" s="2"/>
      <c r="S724" s="2"/>
      <c r="T724" s="2"/>
      <c r="U724" s="2"/>
      <c r="V724" s="2"/>
      <c r="W724" s="2"/>
      <c r="X724" s="2"/>
      <c r="Y724" s="2"/>
      <c r="Z724" s="2"/>
    </row>
    <row r="725" ht="15.75" customHeight="1">
      <c r="A725" s="2"/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 s="2"/>
      <c r="O725" s="2"/>
      <c r="P725" s="2"/>
      <c r="Q725" s="2"/>
      <c r="R725" s="2"/>
      <c r="S725" s="2"/>
      <c r="T725" s="2"/>
      <c r="U725" s="2"/>
      <c r="V725" s="2"/>
      <c r="W725" s="2"/>
      <c r="X725" s="2"/>
      <c r="Y725" s="2"/>
      <c r="Z725" s="2"/>
    </row>
    <row r="726" ht="15.75" customHeight="1">
      <c r="A726" s="2"/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 s="2"/>
      <c r="O726" s="2"/>
      <c r="P726" s="2"/>
      <c r="Q726" s="2"/>
      <c r="R726" s="2"/>
      <c r="S726" s="2"/>
      <c r="T726" s="2"/>
      <c r="U726" s="2"/>
      <c r="V726" s="2"/>
      <c r="W726" s="2"/>
      <c r="X726" s="2"/>
      <c r="Y726" s="2"/>
      <c r="Z726" s="2"/>
    </row>
    <row r="727" ht="15.75" customHeight="1">
      <c r="A727" s="2"/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 s="2"/>
      <c r="O727" s="2"/>
      <c r="P727" s="2"/>
      <c r="Q727" s="2"/>
      <c r="R727" s="2"/>
      <c r="S727" s="2"/>
      <c r="T727" s="2"/>
      <c r="U727" s="2"/>
      <c r="V727" s="2"/>
      <c r="W727" s="2"/>
      <c r="X727" s="2"/>
      <c r="Y727" s="2"/>
      <c r="Z727" s="2"/>
    </row>
    <row r="728" ht="15.75" customHeight="1">
      <c r="A728" s="2"/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 s="2"/>
      <c r="O728" s="2"/>
      <c r="P728" s="2"/>
      <c r="Q728" s="2"/>
      <c r="R728" s="2"/>
      <c r="S728" s="2"/>
      <c r="T728" s="2"/>
      <c r="U728" s="2"/>
      <c r="V728" s="2"/>
      <c r="W728" s="2"/>
      <c r="X728" s="2"/>
      <c r="Y728" s="2"/>
      <c r="Z728" s="2"/>
    </row>
    <row r="729" ht="15.75" customHeight="1">
      <c r="A729" s="2"/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 s="2"/>
      <c r="O729" s="2"/>
      <c r="P729" s="2"/>
      <c r="Q729" s="2"/>
      <c r="R729" s="2"/>
      <c r="S729" s="2"/>
      <c r="T729" s="2"/>
      <c r="U729" s="2"/>
      <c r="V729" s="2"/>
      <c r="W729" s="2"/>
      <c r="X729" s="2"/>
      <c r="Y729" s="2"/>
      <c r="Z729" s="2"/>
    </row>
    <row r="730" ht="15.75" customHeight="1">
      <c r="A730" s="2"/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 s="2"/>
      <c r="O730" s="2"/>
      <c r="P730" s="2"/>
      <c r="Q730" s="2"/>
      <c r="R730" s="2"/>
      <c r="S730" s="2"/>
      <c r="T730" s="2"/>
      <c r="U730" s="2"/>
      <c r="V730" s="2"/>
      <c r="W730" s="2"/>
      <c r="X730" s="2"/>
      <c r="Y730" s="2"/>
      <c r="Z730" s="2"/>
    </row>
    <row r="731" ht="15.75" customHeight="1">
      <c r="A731" s="2"/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 s="2"/>
      <c r="O731" s="2"/>
      <c r="P731" s="2"/>
      <c r="Q731" s="2"/>
      <c r="R731" s="2"/>
      <c r="S731" s="2"/>
      <c r="T731" s="2"/>
      <c r="U731" s="2"/>
      <c r="V731" s="2"/>
      <c r="W731" s="2"/>
      <c r="X731" s="2"/>
      <c r="Y731" s="2"/>
      <c r="Z731" s="2"/>
    </row>
    <row r="732" ht="15.75" customHeight="1">
      <c r="A732" s="2"/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 s="2"/>
      <c r="O732" s="2"/>
      <c r="P732" s="2"/>
      <c r="Q732" s="2"/>
      <c r="R732" s="2"/>
      <c r="S732" s="2"/>
      <c r="T732" s="2"/>
      <c r="U732" s="2"/>
      <c r="V732" s="2"/>
      <c r="W732" s="2"/>
      <c r="X732" s="2"/>
      <c r="Y732" s="2"/>
      <c r="Z732" s="2"/>
    </row>
    <row r="733" ht="15.75" customHeight="1">
      <c r="A733" s="2"/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 s="2"/>
      <c r="O733" s="2"/>
      <c r="P733" s="2"/>
      <c r="Q733" s="2"/>
      <c r="R733" s="2"/>
      <c r="S733" s="2"/>
      <c r="T733" s="2"/>
      <c r="U733" s="2"/>
      <c r="V733" s="2"/>
      <c r="W733" s="2"/>
      <c r="X733" s="2"/>
      <c r="Y733" s="2"/>
      <c r="Z733" s="2"/>
    </row>
    <row r="734" ht="15.75" customHeight="1">
      <c r="A734" s="2"/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 s="2"/>
      <c r="O734" s="2"/>
      <c r="P734" s="2"/>
      <c r="Q734" s="2"/>
      <c r="R734" s="2"/>
      <c r="S734" s="2"/>
      <c r="T734" s="2"/>
      <c r="U734" s="2"/>
      <c r="V734" s="2"/>
      <c r="W734" s="2"/>
      <c r="X734" s="2"/>
      <c r="Y734" s="2"/>
      <c r="Z734" s="2"/>
    </row>
    <row r="735" ht="15.75" customHeight="1">
      <c r="A735" s="2"/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 s="2"/>
      <c r="O735" s="2"/>
      <c r="P735" s="2"/>
      <c r="Q735" s="2"/>
      <c r="R735" s="2"/>
      <c r="S735" s="2"/>
      <c r="T735" s="2"/>
      <c r="U735" s="2"/>
      <c r="V735" s="2"/>
      <c r="W735" s="2"/>
      <c r="X735" s="2"/>
      <c r="Y735" s="2"/>
      <c r="Z735" s="2"/>
    </row>
    <row r="736" ht="15.75" customHeight="1">
      <c r="A736" s="2"/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/>
      <c r="P736" s="2"/>
      <c r="Q736" s="2"/>
      <c r="R736" s="2"/>
      <c r="S736" s="2"/>
      <c r="T736" s="2"/>
      <c r="U736" s="2"/>
      <c r="V736" s="2"/>
      <c r="W736" s="2"/>
      <c r="X736" s="2"/>
      <c r="Y736" s="2"/>
      <c r="Z736" s="2"/>
    </row>
    <row r="737" ht="15.75" customHeight="1">
      <c r="A737" s="2"/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 s="2"/>
      <c r="O737" s="2"/>
      <c r="P737" s="2"/>
      <c r="Q737" s="2"/>
      <c r="R737" s="2"/>
      <c r="S737" s="2"/>
      <c r="T737" s="2"/>
      <c r="U737" s="2"/>
      <c r="V737" s="2"/>
      <c r="W737" s="2"/>
      <c r="X737" s="2"/>
      <c r="Y737" s="2"/>
      <c r="Z737" s="2"/>
    </row>
    <row r="738" ht="15.75" customHeight="1">
      <c r="A738" s="2"/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 s="2"/>
      <c r="O738" s="2"/>
      <c r="P738" s="2"/>
      <c r="Q738" s="2"/>
      <c r="R738" s="2"/>
      <c r="S738" s="2"/>
      <c r="T738" s="2"/>
      <c r="U738" s="2"/>
      <c r="V738" s="2"/>
      <c r="W738" s="2"/>
      <c r="X738" s="2"/>
      <c r="Y738" s="2"/>
      <c r="Z738" s="2"/>
    </row>
    <row r="739" ht="15.75" customHeight="1">
      <c r="A739" s="2"/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 s="2"/>
      <c r="O739" s="2"/>
      <c r="P739" s="2"/>
      <c r="Q739" s="2"/>
      <c r="R739" s="2"/>
      <c r="S739" s="2"/>
      <c r="T739" s="2"/>
      <c r="U739" s="2"/>
      <c r="V739" s="2"/>
      <c r="W739" s="2"/>
      <c r="X739" s="2"/>
      <c r="Y739" s="2"/>
      <c r="Z739" s="2"/>
    </row>
    <row r="740" ht="15.75" customHeight="1">
      <c r="A740" s="2"/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 s="2"/>
      <c r="O740" s="2"/>
      <c r="P740" s="2"/>
      <c r="Q740" s="2"/>
      <c r="R740" s="2"/>
      <c r="S740" s="2"/>
      <c r="T740" s="2"/>
      <c r="U740" s="2"/>
      <c r="V740" s="2"/>
      <c r="W740" s="2"/>
      <c r="X740" s="2"/>
      <c r="Y740" s="2"/>
      <c r="Z740" s="2"/>
    </row>
    <row r="741" ht="15.75" customHeight="1">
      <c r="A741" s="2"/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 s="2"/>
      <c r="O741" s="2"/>
      <c r="P741" s="2"/>
      <c r="Q741" s="2"/>
      <c r="R741" s="2"/>
      <c r="S741" s="2"/>
      <c r="T741" s="2"/>
      <c r="U741" s="2"/>
      <c r="V741" s="2"/>
      <c r="W741" s="2"/>
      <c r="X741" s="2"/>
      <c r="Y741" s="2"/>
      <c r="Z741" s="2"/>
    </row>
    <row r="742" ht="15.75" customHeight="1">
      <c r="A742" s="2"/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/>
      <c r="P742" s="2"/>
      <c r="Q742" s="2"/>
      <c r="R742" s="2"/>
      <c r="S742" s="2"/>
      <c r="T742" s="2"/>
      <c r="U742" s="2"/>
      <c r="V742" s="2"/>
      <c r="W742" s="2"/>
      <c r="X742" s="2"/>
      <c r="Y742" s="2"/>
      <c r="Z742" s="2"/>
    </row>
    <row r="743" ht="15.75" customHeight="1">
      <c r="A743" s="2"/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 s="2"/>
      <c r="O743" s="2"/>
      <c r="P743" s="2"/>
      <c r="Q743" s="2"/>
      <c r="R743" s="2"/>
      <c r="S743" s="2"/>
      <c r="T743" s="2"/>
      <c r="U743" s="2"/>
      <c r="V743" s="2"/>
      <c r="W743" s="2"/>
      <c r="X743" s="2"/>
      <c r="Y743" s="2"/>
      <c r="Z743" s="2"/>
    </row>
    <row r="744" ht="15.75" customHeight="1">
      <c r="A744" s="2"/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 s="2"/>
      <c r="O744" s="2"/>
      <c r="P744" s="2"/>
      <c r="Q744" s="2"/>
      <c r="R744" s="2"/>
      <c r="S744" s="2"/>
      <c r="T744" s="2"/>
      <c r="U744" s="2"/>
      <c r="V744" s="2"/>
      <c r="W744" s="2"/>
      <c r="X744" s="2"/>
      <c r="Y744" s="2"/>
      <c r="Z744" s="2"/>
    </row>
    <row r="745" ht="15.75" customHeight="1">
      <c r="A745" s="2"/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 s="2"/>
      <c r="O745" s="2"/>
      <c r="P745" s="2"/>
      <c r="Q745" s="2"/>
      <c r="R745" s="2"/>
      <c r="S745" s="2"/>
      <c r="T745" s="2"/>
      <c r="U745" s="2"/>
      <c r="V745" s="2"/>
      <c r="W745" s="2"/>
      <c r="X745" s="2"/>
      <c r="Y745" s="2"/>
      <c r="Z745" s="2"/>
    </row>
    <row r="746" ht="15.75" customHeight="1">
      <c r="A746" s="2"/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 s="2"/>
      <c r="O746" s="2"/>
      <c r="P746" s="2"/>
      <c r="Q746" s="2"/>
      <c r="R746" s="2"/>
      <c r="S746" s="2"/>
      <c r="T746" s="2"/>
      <c r="U746" s="2"/>
      <c r="V746" s="2"/>
      <c r="W746" s="2"/>
      <c r="X746" s="2"/>
      <c r="Y746" s="2"/>
      <c r="Z746" s="2"/>
    </row>
    <row r="747" ht="15.75" customHeight="1">
      <c r="A747" s="2"/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/>
      <c r="P747" s="2"/>
      <c r="Q747" s="2"/>
      <c r="R747" s="2"/>
      <c r="S747" s="2"/>
      <c r="T747" s="2"/>
      <c r="U747" s="2"/>
      <c r="V747" s="2"/>
      <c r="W747" s="2"/>
      <c r="X747" s="2"/>
      <c r="Y747" s="2"/>
      <c r="Z747" s="2"/>
    </row>
    <row r="748" ht="15.75" customHeight="1">
      <c r="A748" s="2"/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 s="2"/>
      <c r="O748" s="2"/>
      <c r="P748" s="2"/>
      <c r="Q748" s="2"/>
      <c r="R748" s="2"/>
      <c r="S748" s="2"/>
      <c r="T748" s="2"/>
      <c r="U748" s="2"/>
      <c r="V748" s="2"/>
      <c r="W748" s="2"/>
      <c r="X748" s="2"/>
      <c r="Y748" s="2"/>
      <c r="Z748" s="2"/>
    </row>
    <row r="749" ht="15.75" customHeight="1">
      <c r="A749" s="2"/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/>
      <c r="P749" s="2"/>
      <c r="Q749" s="2"/>
      <c r="R749" s="2"/>
      <c r="S749" s="2"/>
      <c r="T749" s="2"/>
      <c r="U749" s="2"/>
      <c r="V749" s="2"/>
      <c r="W749" s="2"/>
      <c r="X749" s="2"/>
      <c r="Y749" s="2"/>
      <c r="Z749" s="2"/>
    </row>
    <row r="750" ht="15.75" customHeight="1">
      <c r="A750" s="2"/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 s="2"/>
      <c r="O750" s="2"/>
      <c r="P750" s="2"/>
      <c r="Q750" s="2"/>
      <c r="R750" s="2"/>
      <c r="S750" s="2"/>
      <c r="T750" s="2"/>
      <c r="U750" s="2"/>
      <c r="V750" s="2"/>
      <c r="W750" s="2"/>
      <c r="X750" s="2"/>
      <c r="Y750" s="2"/>
      <c r="Z750" s="2"/>
    </row>
    <row r="751" ht="15.75" customHeight="1">
      <c r="A751" s="2"/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 s="2"/>
      <c r="O751" s="2"/>
      <c r="P751" s="2"/>
      <c r="Q751" s="2"/>
      <c r="R751" s="2"/>
      <c r="S751" s="2"/>
      <c r="T751" s="2"/>
      <c r="U751" s="2"/>
      <c r="V751" s="2"/>
      <c r="W751" s="2"/>
      <c r="X751" s="2"/>
      <c r="Y751" s="2"/>
      <c r="Z751" s="2"/>
    </row>
    <row r="752" ht="15.75" customHeight="1">
      <c r="A752" s="2"/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 s="2"/>
      <c r="O752" s="2"/>
      <c r="P752" s="2"/>
      <c r="Q752" s="2"/>
      <c r="R752" s="2"/>
      <c r="S752" s="2"/>
      <c r="T752" s="2"/>
      <c r="U752" s="2"/>
      <c r="V752" s="2"/>
      <c r="W752" s="2"/>
      <c r="X752" s="2"/>
      <c r="Y752" s="2"/>
      <c r="Z752" s="2"/>
    </row>
    <row r="753" ht="15.75" customHeight="1">
      <c r="A753" s="2"/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 s="2"/>
      <c r="O753" s="2"/>
      <c r="P753" s="2"/>
      <c r="Q753" s="2"/>
      <c r="R753" s="2"/>
      <c r="S753" s="2"/>
      <c r="T753" s="2"/>
      <c r="U753" s="2"/>
      <c r="V753" s="2"/>
      <c r="W753" s="2"/>
      <c r="X753" s="2"/>
      <c r="Y753" s="2"/>
      <c r="Z753" s="2"/>
    </row>
    <row r="754" ht="15.75" customHeight="1">
      <c r="A754" s="2"/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/>
      <c r="P754" s="2"/>
      <c r="Q754" s="2"/>
      <c r="R754" s="2"/>
      <c r="S754" s="2"/>
      <c r="T754" s="2"/>
      <c r="U754" s="2"/>
      <c r="V754" s="2"/>
      <c r="W754" s="2"/>
      <c r="X754" s="2"/>
      <c r="Y754" s="2"/>
      <c r="Z754" s="2"/>
    </row>
    <row r="755" ht="15.75" customHeight="1">
      <c r="A755" s="2"/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 s="2"/>
      <c r="O755" s="2"/>
      <c r="P755" s="2"/>
      <c r="Q755" s="2"/>
      <c r="R755" s="2"/>
      <c r="S755" s="2"/>
      <c r="T755" s="2"/>
      <c r="U755" s="2"/>
      <c r="V755" s="2"/>
      <c r="W755" s="2"/>
      <c r="X755" s="2"/>
      <c r="Y755" s="2"/>
      <c r="Z755" s="2"/>
    </row>
    <row r="756" ht="15.75" customHeight="1">
      <c r="A756" s="2"/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/>
      <c r="P756" s="2"/>
      <c r="Q756" s="2"/>
      <c r="R756" s="2"/>
      <c r="S756" s="2"/>
      <c r="T756" s="2"/>
      <c r="U756" s="2"/>
      <c r="V756" s="2"/>
      <c r="W756" s="2"/>
      <c r="X756" s="2"/>
      <c r="Y756" s="2"/>
      <c r="Z756" s="2"/>
    </row>
    <row r="757" ht="15.75" customHeight="1">
      <c r="A757" s="2"/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 s="2"/>
      <c r="O757" s="2"/>
      <c r="P757" s="2"/>
      <c r="Q757" s="2"/>
      <c r="R757" s="2"/>
      <c r="S757" s="2"/>
      <c r="T757" s="2"/>
      <c r="U757" s="2"/>
      <c r="V757" s="2"/>
      <c r="W757" s="2"/>
      <c r="X757" s="2"/>
      <c r="Y757" s="2"/>
      <c r="Z757" s="2"/>
    </row>
    <row r="758" ht="15.75" customHeight="1">
      <c r="A758" s="2"/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 s="2"/>
      <c r="O758" s="2"/>
      <c r="P758" s="2"/>
      <c r="Q758" s="2"/>
      <c r="R758" s="2"/>
      <c r="S758" s="2"/>
      <c r="T758" s="2"/>
      <c r="U758" s="2"/>
      <c r="V758" s="2"/>
      <c r="W758" s="2"/>
      <c r="X758" s="2"/>
      <c r="Y758" s="2"/>
      <c r="Z758" s="2"/>
    </row>
    <row r="759" ht="15.75" customHeight="1">
      <c r="A759" s="2"/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 s="2"/>
      <c r="O759" s="2"/>
      <c r="P759" s="2"/>
      <c r="Q759" s="2"/>
      <c r="R759" s="2"/>
      <c r="S759" s="2"/>
      <c r="T759" s="2"/>
      <c r="U759" s="2"/>
      <c r="V759" s="2"/>
      <c r="W759" s="2"/>
      <c r="X759" s="2"/>
      <c r="Y759" s="2"/>
      <c r="Z759" s="2"/>
    </row>
    <row r="760" ht="15.75" customHeight="1">
      <c r="A760" s="2"/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 s="2"/>
      <c r="O760" s="2"/>
      <c r="P760" s="2"/>
      <c r="Q760" s="2"/>
      <c r="R760" s="2"/>
      <c r="S760" s="2"/>
      <c r="T760" s="2"/>
      <c r="U760" s="2"/>
      <c r="V760" s="2"/>
      <c r="W760" s="2"/>
      <c r="X760" s="2"/>
      <c r="Y760" s="2"/>
      <c r="Z760" s="2"/>
    </row>
    <row r="761" ht="15.75" customHeight="1">
      <c r="A761" s="2"/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 s="2"/>
      <c r="O761" s="2"/>
      <c r="P761" s="2"/>
      <c r="Q761" s="2"/>
      <c r="R761" s="2"/>
      <c r="S761" s="2"/>
      <c r="T761" s="2"/>
      <c r="U761" s="2"/>
      <c r="V761" s="2"/>
      <c r="W761" s="2"/>
      <c r="X761" s="2"/>
      <c r="Y761" s="2"/>
      <c r="Z761" s="2"/>
    </row>
    <row r="762" ht="15.75" customHeight="1">
      <c r="A762" s="2"/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 s="2"/>
      <c r="O762" s="2"/>
      <c r="P762" s="2"/>
      <c r="Q762" s="2"/>
      <c r="R762" s="2"/>
      <c r="S762" s="2"/>
      <c r="T762" s="2"/>
      <c r="U762" s="2"/>
      <c r="V762" s="2"/>
      <c r="W762" s="2"/>
      <c r="X762" s="2"/>
      <c r="Y762" s="2"/>
      <c r="Z762" s="2"/>
    </row>
    <row r="763" ht="15.75" customHeight="1">
      <c r="A763" s="2"/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 s="2"/>
      <c r="O763" s="2"/>
      <c r="P763" s="2"/>
      <c r="Q763" s="2"/>
      <c r="R763" s="2"/>
      <c r="S763" s="2"/>
      <c r="T763" s="2"/>
      <c r="U763" s="2"/>
      <c r="V763" s="2"/>
      <c r="W763" s="2"/>
      <c r="X763" s="2"/>
      <c r="Y763" s="2"/>
      <c r="Z763" s="2"/>
    </row>
    <row r="764" ht="15.75" customHeight="1">
      <c r="A764" s="2"/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 s="2"/>
      <c r="O764" s="2"/>
      <c r="P764" s="2"/>
      <c r="Q764" s="2"/>
      <c r="R764" s="2"/>
      <c r="S764" s="2"/>
      <c r="T764" s="2"/>
      <c r="U764" s="2"/>
      <c r="V764" s="2"/>
      <c r="W764" s="2"/>
      <c r="X764" s="2"/>
      <c r="Y764" s="2"/>
      <c r="Z764" s="2"/>
    </row>
    <row r="765" ht="15.75" customHeight="1">
      <c r="A765" s="2"/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 s="2"/>
      <c r="O765" s="2"/>
      <c r="P765" s="2"/>
      <c r="Q765" s="2"/>
      <c r="R765" s="2"/>
      <c r="S765" s="2"/>
      <c r="T765" s="2"/>
      <c r="U765" s="2"/>
      <c r="V765" s="2"/>
      <c r="W765" s="2"/>
      <c r="X765" s="2"/>
      <c r="Y765" s="2"/>
      <c r="Z765" s="2"/>
    </row>
    <row r="766" ht="15.75" customHeight="1">
      <c r="A766" s="2"/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 s="2"/>
      <c r="O766" s="2"/>
      <c r="P766" s="2"/>
      <c r="Q766" s="2"/>
      <c r="R766" s="2"/>
      <c r="S766" s="2"/>
      <c r="T766" s="2"/>
      <c r="U766" s="2"/>
      <c r="V766" s="2"/>
      <c r="W766" s="2"/>
      <c r="X766" s="2"/>
      <c r="Y766" s="2"/>
      <c r="Z766" s="2"/>
    </row>
    <row r="767" ht="15.75" customHeight="1">
      <c r="A767" s="2"/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 s="2"/>
      <c r="O767" s="2"/>
      <c r="P767" s="2"/>
      <c r="Q767" s="2"/>
      <c r="R767" s="2"/>
      <c r="S767" s="2"/>
      <c r="T767" s="2"/>
      <c r="U767" s="2"/>
      <c r="V767" s="2"/>
      <c r="W767" s="2"/>
      <c r="X767" s="2"/>
      <c r="Y767" s="2"/>
      <c r="Z767" s="2"/>
    </row>
    <row r="768" ht="15.75" customHeight="1">
      <c r="A768" s="2"/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 s="2"/>
      <c r="O768" s="2"/>
      <c r="P768" s="2"/>
      <c r="Q768" s="2"/>
      <c r="R768" s="2"/>
      <c r="S768" s="2"/>
      <c r="T768" s="2"/>
      <c r="U768" s="2"/>
      <c r="V768" s="2"/>
      <c r="W768" s="2"/>
      <c r="X768" s="2"/>
      <c r="Y768" s="2"/>
      <c r="Z768" s="2"/>
    </row>
    <row r="769" ht="15.75" customHeight="1">
      <c r="A769" s="2"/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 s="2"/>
      <c r="O769" s="2"/>
      <c r="P769" s="2"/>
      <c r="Q769" s="2"/>
      <c r="R769" s="2"/>
      <c r="S769" s="2"/>
      <c r="T769" s="2"/>
      <c r="U769" s="2"/>
      <c r="V769" s="2"/>
      <c r="W769" s="2"/>
      <c r="X769" s="2"/>
      <c r="Y769" s="2"/>
      <c r="Z769" s="2"/>
    </row>
    <row r="770" ht="15.75" customHeight="1">
      <c r="A770" s="2"/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 s="2"/>
      <c r="O770" s="2"/>
      <c r="P770" s="2"/>
      <c r="Q770" s="2"/>
      <c r="R770" s="2"/>
      <c r="S770" s="2"/>
      <c r="T770" s="2"/>
      <c r="U770" s="2"/>
      <c r="V770" s="2"/>
      <c r="W770" s="2"/>
      <c r="X770" s="2"/>
      <c r="Y770" s="2"/>
      <c r="Z770" s="2"/>
    </row>
    <row r="771" ht="15.75" customHeight="1">
      <c r="A771" s="2"/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 s="2"/>
      <c r="O771" s="2"/>
      <c r="P771" s="2"/>
      <c r="Q771" s="2"/>
      <c r="R771" s="2"/>
      <c r="S771" s="2"/>
      <c r="T771" s="2"/>
      <c r="U771" s="2"/>
      <c r="V771" s="2"/>
      <c r="W771" s="2"/>
      <c r="X771" s="2"/>
      <c r="Y771" s="2"/>
      <c r="Z771" s="2"/>
    </row>
    <row r="772" ht="15.75" customHeight="1">
      <c r="A772" s="2"/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 s="2"/>
      <c r="O772" s="2"/>
      <c r="P772" s="2"/>
      <c r="Q772" s="2"/>
      <c r="R772" s="2"/>
      <c r="S772" s="2"/>
      <c r="T772" s="2"/>
      <c r="U772" s="2"/>
      <c r="V772" s="2"/>
      <c r="W772" s="2"/>
      <c r="X772" s="2"/>
      <c r="Y772" s="2"/>
      <c r="Z772" s="2"/>
    </row>
    <row r="773" ht="15.75" customHeight="1">
      <c r="A773" s="2"/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 s="2"/>
      <c r="O773" s="2"/>
      <c r="P773" s="2"/>
      <c r="Q773" s="2"/>
      <c r="R773" s="2"/>
      <c r="S773" s="2"/>
      <c r="T773" s="2"/>
      <c r="U773" s="2"/>
      <c r="V773" s="2"/>
      <c r="W773" s="2"/>
      <c r="X773" s="2"/>
      <c r="Y773" s="2"/>
      <c r="Z773" s="2"/>
    </row>
    <row r="774" ht="15.75" customHeight="1">
      <c r="A774" s="2"/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 s="2"/>
      <c r="O774" s="2"/>
      <c r="P774" s="2"/>
      <c r="Q774" s="2"/>
      <c r="R774" s="2"/>
      <c r="S774" s="2"/>
      <c r="T774" s="2"/>
      <c r="U774" s="2"/>
      <c r="V774" s="2"/>
      <c r="W774" s="2"/>
      <c r="X774" s="2"/>
      <c r="Y774" s="2"/>
      <c r="Z774" s="2"/>
    </row>
    <row r="775" ht="15.75" customHeight="1">
      <c r="A775" s="2"/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 s="2"/>
      <c r="O775" s="2"/>
      <c r="P775" s="2"/>
      <c r="Q775" s="2"/>
      <c r="R775" s="2"/>
      <c r="S775" s="2"/>
      <c r="T775" s="2"/>
      <c r="U775" s="2"/>
      <c r="V775" s="2"/>
      <c r="W775" s="2"/>
      <c r="X775" s="2"/>
      <c r="Y775" s="2"/>
      <c r="Z775" s="2"/>
    </row>
    <row r="776" ht="15.75" customHeight="1">
      <c r="A776" s="2"/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 s="2"/>
      <c r="O776" s="2"/>
      <c r="P776" s="2"/>
      <c r="Q776" s="2"/>
      <c r="R776" s="2"/>
      <c r="S776" s="2"/>
      <c r="T776" s="2"/>
      <c r="U776" s="2"/>
      <c r="V776" s="2"/>
      <c r="W776" s="2"/>
      <c r="X776" s="2"/>
      <c r="Y776" s="2"/>
      <c r="Z776" s="2"/>
    </row>
    <row r="777" ht="15.75" customHeight="1">
      <c r="A777" s="2"/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 s="2"/>
      <c r="O777" s="2"/>
      <c r="P777" s="2"/>
      <c r="Q777" s="2"/>
      <c r="R777" s="2"/>
      <c r="S777" s="2"/>
      <c r="T777" s="2"/>
      <c r="U777" s="2"/>
      <c r="V777" s="2"/>
      <c r="W777" s="2"/>
      <c r="X777" s="2"/>
      <c r="Y777" s="2"/>
      <c r="Z777" s="2"/>
    </row>
    <row r="778" ht="15.75" customHeight="1">
      <c r="A778" s="2"/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 s="2"/>
      <c r="O778" s="2"/>
      <c r="P778" s="2"/>
      <c r="Q778" s="2"/>
      <c r="R778" s="2"/>
      <c r="S778" s="2"/>
      <c r="T778" s="2"/>
      <c r="U778" s="2"/>
      <c r="V778" s="2"/>
      <c r="W778" s="2"/>
      <c r="X778" s="2"/>
      <c r="Y778" s="2"/>
      <c r="Z778" s="2"/>
    </row>
    <row r="779" ht="15.75" customHeight="1">
      <c r="A779" s="2"/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 s="2"/>
      <c r="O779" s="2"/>
      <c r="P779" s="2"/>
      <c r="Q779" s="2"/>
      <c r="R779" s="2"/>
      <c r="S779" s="2"/>
      <c r="T779" s="2"/>
      <c r="U779" s="2"/>
      <c r="V779" s="2"/>
      <c r="W779" s="2"/>
      <c r="X779" s="2"/>
      <c r="Y779" s="2"/>
      <c r="Z779" s="2"/>
    </row>
    <row r="780" ht="15.75" customHeight="1">
      <c r="A780" s="2"/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 s="2"/>
      <c r="O780" s="2"/>
      <c r="P780" s="2"/>
      <c r="Q780" s="2"/>
      <c r="R780" s="2"/>
      <c r="S780" s="2"/>
      <c r="T780" s="2"/>
      <c r="U780" s="2"/>
      <c r="V780" s="2"/>
      <c r="W780" s="2"/>
      <c r="X780" s="2"/>
      <c r="Y780" s="2"/>
      <c r="Z780" s="2"/>
    </row>
    <row r="781" ht="15.75" customHeight="1">
      <c r="A781" s="2"/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 s="2"/>
      <c r="O781" s="2"/>
      <c r="P781" s="2"/>
      <c r="Q781" s="2"/>
      <c r="R781" s="2"/>
      <c r="S781" s="2"/>
      <c r="T781" s="2"/>
      <c r="U781" s="2"/>
      <c r="V781" s="2"/>
      <c r="W781" s="2"/>
      <c r="X781" s="2"/>
      <c r="Y781" s="2"/>
      <c r="Z781" s="2"/>
    </row>
    <row r="782" ht="15.75" customHeight="1">
      <c r="A782" s="2"/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 s="2"/>
      <c r="O782" s="2"/>
      <c r="P782" s="2"/>
      <c r="Q782" s="2"/>
      <c r="R782" s="2"/>
      <c r="S782" s="2"/>
      <c r="T782" s="2"/>
      <c r="U782" s="2"/>
      <c r="V782" s="2"/>
      <c r="W782" s="2"/>
      <c r="X782" s="2"/>
      <c r="Y782" s="2"/>
      <c r="Z782" s="2"/>
    </row>
    <row r="783" ht="15.75" customHeight="1">
      <c r="A783" s="2"/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 s="2"/>
      <c r="O783" s="2"/>
      <c r="P783" s="2"/>
      <c r="Q783" s="2"/>
      <c r="R783" s="2"/>
      <c r="S783" s="2"/>
      <c r="T783" s="2"/>
      <c r="U783" s="2"/>
      <c r="V783" s="2"/>
      <c r="W783" s="2"/>
      <c r="X783" s="2"/>
      <c r="Y783" s="2"/>
      <c r="Z783" s="2"/>
    </row>
    <row r="784" ht="15.75" customHeight="1">
      <c r="A784" s="2"/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 s="2"/>
      <c r="O784" s="2"/>
      <c r="P784" s="2"/>
      <c r="Q784" s="2"/>
      <c r="R784" s="2"/>
      <c r="S784" s="2"/>
      <c r="T784" s="2"/>
      <c r="U784" s="2"/>
      <c r="V784" s="2"/>
      <c r="W784" s="2"/>
      <c r="X784" s="2"/>
      <c r="Y784" s="2"/>
      <c r="Z784" s="2"/>
    </row>
    <row r="785" ht="15.75" customHeight="1">
      <c r="A785" s="2"/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 s="2"/>
      <c r="O785" s="2"/>
      <c r="P785" s="2"/>
      <c r="Q785" s="2"/>
      <c r="R785" s="2"/>
      <c r="S785" s="2"/>
      <c r="T785" s="2"/>
      <c r="U785" s="2"/>
      <c r="V785" s="2"/>
      <c r="W785" s="2"/>
      <c r="X785" s="2"/>
      <c r="Y785" s="2"/>
      <c r="Z785" s="2"/>
    </row>
    <row r="786" ht="15.75" customHeight="1">
      <c r="A786" s="2"/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 s="2"/>
      <c r="O786" s="2"/>
      <c r="P786" s="2"/>
      <c r="Q786" s="2"/>
      <c r="R786" s="2"/>
      <c r="S786" s="2"/>
      <c r="T786" s="2"/>
      <c r="U786" s="2"/>
      <c r="V786" s="2"/>
      <c r="W786" s="2"/>
      <c r="X786" s="2"/>
      <c r="Y786" s="2"/>
      <c r="Z786" s="2"/>
    </row>
    <row r="787" ht="15.75" customHeight="1">
      <c r="A787" s="2"/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 s="2"/>
      <c r="O787" s="2"/>
      <c r="P787" s="2"/>
      <c r="Q787" s="2"/>
      <c r="R787" s="2"/>
      <c r="S787" s="2"/>
      <c r="T787" s="2"/>
      <c r="U787" s="2"/>
      <c r="V787" s="2"/>
      <c r="W787" s="2"/>
      <c r="X787" s="2"/>
      <c r="Y787" s="2"/>
      <c r="Z787" s="2"/>
    </row>
    <row r="788" ht="15.75" customHeight="1">
      <c r="A788" s="2"/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 s="2"/>
      <c r="O788" s="2"/>
      <c r="P788" s="2"/>
      <c r="Q788" s="2"/>
      <c r="R788" s="2"/>
      <c r="S788" s="2"/>
      <c r="T788" s="2"/>
      <c r="U788" s="2"/>
      <c r="V788" s="2"/>
      <c r="W788" s="2"/>
      <c r="X788" s="2"/>
      <c r="Y788" s="2"/>
      <c r="Z788" s="2"/>
    </row>
    <row r="789" ht="15.75" customHeight="1">
      <c r="A789" s="2"/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/>
      <c r="P789" s="2"/>
      <c r="Q789" s="2"/>
      <c r="R789" s="2"/>
      <c r="S789" s="2"/>
      <c r="T789" s="2"/>
      <c r="U789" s="2"/>
      <c r="V789" s="2"/>
      <c r="W789" s="2"/>
      <c r="X789" s="2"/>
      <c r="Y789" s="2"/>
      <c r="Z789" s="2"/>
    </row>
    <row r="790" ht="15.75" customHeight="1">
      <c r="A790" s="2"/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 s="2"/>
      <c r="O790" s="2"/>
      <c r="P790" s="2"/>
      <c r="Q790" s="2"/>
      <c r="R790" s="2"/>
      <c r="S790" s="2"/>
      <c r="T790" s="2"/>
      <c r="U790" s="2"/>
      <c r="V790" s="2"/>
      <c r="W790" s="2"/>
      <c r="X790" s="2"/>
      <c r="Y790" s="2"/>
      <c r="Z790" s="2"/>
    </row>
    <row r="791" ht="15.75" customHeight="1">
      <c r="A791" s="2"/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 s="2"/>
      <c r="O791" s="2"/>
      <c r="P791" s="2"/>
      <c r="Q791" s="2"/>
      <c r="R791" s="2"/>
      <c r="S791" s="2"/>
      <c r="T791" s="2"/>
      <c r="U791" s="2"/>
      <c r="V791" s="2"/>
      <c r="W791" s="2"/>
      <c r="X791" s="2"/>
      <c r="Y791" s="2"/>
      <c r="Z791" s="2"/>
    </row>
    <row r="792" ht="15.75" customHeight="1">
      <c r="A792" s="2"/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 s="2"/>
      <c r="O792" s="2"/>
      <c r="P792" s="2"/>
      <c r="Q792" s="2"/>
      <c r="R792" s="2"/>
      <c r="S792" s="2"/>
      <c r="T792" s="2"/>
      <c r="U792" s="2"/>
      <c r="V792" s="2"/>
      <c r="W792" s="2"/>
      <c r="X792" s="2"/>
      <c r="Y792" s="2"/>
      <c r="Z792" s="2"/>
    </row>
    <row r="793" ht="15.75" customHeight="1">
      <c r="A793" s="2"/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 s="2"/>
      <c r="O793" s="2"/>
      <c r="P793" s="2"/>
      <c r="Q793" s="2"/>
      <c r="R793" s="2"/>
      <c r="S793" s="2"/>
      <c r="T793" s="2"/>
      <c r="U793" s="2"/>
      <c r="V793" s="2"/>
      <c r="W793" s="2"/>
      <c r="X793" s="2"/>
      <c r="Y793" s="2"/>
      <c r="Z793" s="2"/>
    </row>
    <row r="794" ht="15.75" customHeight="1">
      <c r="A794" s="2"/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 s="2"/>
      <c r="O794" s="2"/>
      <c r="P794" s="2"/>
      <c r="Q794" s="2"/>
      <c r="R794" s="2"/>
      <c r="S794" s="2"/>
      <c r="T794" s="2"/>
      <c r="U794" s="2"/>
      <c r="V794" s="2"/>
      <c r="W794" s="2"/>
      <c r="X794" s="2"/>
      <c r="Y794" s="2"/>
      <c r="Z794" s="2"/>
    </row>
    <row r="795" ht="15.75" customHeight="1">
      <c r="A795" s="2"/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 s="2"/>
      <c r="O795" s="2"/>
      <c r="P795" s="2"/>
      <c r="Q795" s="2"/>
      <c r="R795" s="2"/>
      <c r="S795" s="2"/>
      <c r="T795" s="2"/>
      <c r="U795" s="2"/>
      <c r="V795" s="2"/>
      <c r="W795" s="2"/>
      <c r="X795" s="2"/>
      <c r="Y795" s="2"/>
      <c r="Z795" s="2"/>
    </row>
    <row r="796" ht="15.75" customHeight="1">
      <c r="A796" s="2"/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 s="2"/>
      <c r="O796" s="2"/>
      <c r="P796" s="2"/>
      <c r="Q796" s="2"/>
      <c r="R796" s="2"/>
      <c r="S796" s="2"/>
      <c r="T796" s="2"/>
      <c r="U796" s="2"/>
      <c r="V796" s="2"/>
      <c r="W796" s="2"/>
      <c r="X796" s="2"/>
      <c r="Y796" s="2"/>
      <c r="Z796" s="2"/>
    </row>
    <row r="797" ht="15.75" customHeight="1">
      <c r="A797" s="2"/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 s="2"/>
      <c r="O797" s="2"/>
      <c r="P797" s="2"/>
      <c r="Q797" s="2"/>
      <c r="R797" s="2"/>
      <c r="S797" s="2"/>
      <c r="T797" s="2"/>
      <c r="U797" s="2"/>
      <c r="V797" s="2"/>
      <c r="W797" s="2"/>
      <c r="X797" s="2"/>
      <c r="Y797" s="2"/>
      <c r="Z797" s="2"/>
    </row>
    <row r="798" ht="15.75" customHeight="1">
      <c r="A798" s="2"/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 s="2"/>
      <c r="O798" s="2"/>
      <c r="P798" s="2"/>
      <c r="Q798" s="2"/>
      <c r="R798" s="2"/>
      <c r="S798" s="2"/>
      <c r="T798" s="2"/>
      <c r="U798" s="2"/>
      <c r="V798" s="2"/>
      <c r="W798" s="2"/>
      <c r="X798" s="2"/>
      <c r="Y798" s="2"/>
      <c r="Z798" s="2"/>
    </row>
    <row r="799" ht="15.75" customHeight="1">
      <c r="A799" s="2"/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 s="2"/>
      <c r="O799" s="2"/>
      <c r="P799" s="2"/>
      <c r="Q799" s="2"/>
      <c r="R799" s="2"/>
      <c r="S799" s="2"/>
      <c r="T799" s="2"/>
      <c r="U799" s="2"/>
      <c r="V799" s="2"/>
      <c r="W799" s="2"/>
      <c r="X799" s="2"/>
      <c r="Y799" s="2"/>
      <c r="Z799" s="2"/>
    </row>
    <row r="800" ht="15.75" customHeight="1">
      <c r="A800" s="2"/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 s="2"/>
      <c r="O800" s="2"/>
      <c r="P800" s="2"/>
      <c r="Q800" s="2"/>
      <c r="R800" s="2"/>
      <c r="S800" s="2"/>
      <c r="T800" s="2"/>
      <c r="U800" s="2"/>
      <c r="V800" s="2"/>
      <c r="W800" s="2"/>
      <c r="X800" s="2"/>
      <c r="Y800" s="2"/>
      <c r="Z800" s="2"/>
    </row>
    <row r="801" ht="15.75" customHeight="1">
      <c r="A801" s="2"/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 s="2"/>
      <c r="O801" s="2"/>
      <c r="P801" s="2"/>
      <c r="Q801" s="2"/>
      <c r="R801" s="2"/>
      <c r="S801" s="2"/>
      <c r="T801" s="2"/>
      <c r="U801" s="2"/>
      <c r="V801" s="2"/>
      <c r="W801" s="2"/>
      <c r="X801" s="2"/>
      <c r="Y801" s="2"/>
      <c r="Z801" s="2"/>
    </row>
    <row r="802" ht="15.75" customHeight="1">
      <c r="A802" s="2"/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 s="2"/>
      <c r="O802" s="2"/>
      <c r="P802" s="2"/>
      <c r="Q802" s="2"/>
      <c r="R802" s="2"/>
      <c r="S802" s="2"/>
      <c r="T802" s="2"/>
      <c r="U802" s="2"/>
      <c r="V802" s="2"/>
      <c r="W802" s="2"/>
      <c r="X802" s="2"/>
      <c r="Y802" s="2"/>
      <c r="Z802" s="2"/>
    </row>
    <row r="803" ht="15.75" customHeight="1">
      <c r="A803" s="2"/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 s="2"/>
      <c r="O803" s="2"/>
      <c r="P803" s="2"/>
      <c r="Q803" s="2"/>
      <c r="R803" s="2"/>
      <c r="S803" s="2"/>
      <c r="T803" s="2"/>
      <c r="U803" s="2"/>
      <c r="V803" s="2"/>
      <c r="W803" s="2"/>
      <c r="X803" s="2"/>
      <c r="Y803" s="2"/>
      <c r="Z803" s="2"/>
    </row>
    <row r="804" ht="15.75" customHeight="1">
      <c r="A804" s="2"/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 s="2"/>
      <c r="O804" s="2"/>
      <c r="P804" s="2"/>
      <c r="Q804" s="2"/>
      <c r="R804" s="2"/>
      <c r="S804" s="2"/>
      <c r="T804" s="2"/>
      <c r="U804" s="2"/>
      <c r="V804" s="2"/>
      <c r="W804" s="2"/>
      <c r="X804" s="2"/>
      <c r="Y804" s="2"/>
      <c r="Z804" s="2"/>
    </row>
    <row r="805" ht="15.75" customHeight="1">
      <c r="A805" s="2"/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 s="2"/>
      <c r="O805" s="2"/>
      <c r="P805" s="2"/>
      <c r="Q805" s="2"/>
      <c r="R805" s="2"/>
      <c r="S805" s="2"/>
      <c r="T805" s="2"/>
      <c r="U805" s="2"/>
      <c r="V805" s="2"/>
      <c r="W805" s="2"/>
      <c r="X805" s="2"/>
      <c r="Y805" s="2"/>
      <c r="Z805" s="2"/>
    </row>
    <row r="806" ht="15.75" customHeight="1">
      <c r="A806" s="2"/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 s="2"/>
      <c r="O806" s="2"/>
      <c r="P806" s="2"/>
      <c r="Q806" s="2"/>
      <c r="R806" s="2"/>
      <c r="S806" s="2"/>
      <c r="T806" s="2"/>
      <c r="U806" s="2"/>
      <c r="V806" s="2"/>
      <c r="W806" s="2"/>
      <c r="X806" s="2"/>
      <c r="Y806" s="2"/>
      <c r="Z806" s="2"/>
    </row>
    <row r="807" ht="15.75" customHeight="1">
      <c r="A807" s="2"/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 s="2"/>
      <c r="O807" s="2"/>
      <c r="P807" s="2"/>
      <c r="Q807" s="2"/>
      <c r="R807" s="2"/>
      <c r="S807" s="2"/>
      <c r="T807" s="2"/>
      <c r="U807" s="2"/>
      <c r="V807" s="2"/>
      <c r="W807" s="2"/>
      <c r="X807" s="2"/>
      <c r="Y807" s="2"/>
      <c r="Z807" s="2"/>
    </row>
    <row r="808" ht="15.75" customHeight="1">
      <c r="A808" s="2"/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 s="2"/>
      <c r="O808" s="2"/>
      <c r="P808" s="2"/>
      <c r="Q808" s="2"/>
      <c r="R808" s="2"/>
      <c r="S808" s="2"/>
      <c r="T808" s="2"/>
      <c r="U808" s="2"/>
      <c r="V808" s="2"/>
      <c r="W808" s="2"/>
      <c r="X808" s="2"/>
      <c r="Y808" s="2"/>
      <c r="Z808" s="2"/>
    </row>
    <row r="809" ht="15.75" customHeight="1">
      <c r="A809" s="2"/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 s="2"/>
      <c r="O809" s="2"/>
      <c r="P809" s="2"/>
      <c r="Q809" s="2"/>
      <c r="R809" s="2"/>
      <c r="S809" s="2"/>
      <c r="T809" s="2"/>
      <c r="U809" s="2"/>
      <c r="V809" s="2"/>
      <c r="W809" s="2"/>
      <c r="X809" s="2"/>
      <c r="Y809" s="2"/>
      <c r="Z809" s="2"/>
    </row>
    <row r="810" ht="15.75" customHeight="1">
      <c r="A810" s="2"/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/>
      <c r="P810" s="2"/>
      <c r="Q810" s="2"/>
      <c r="R810" s="2"/>
      <c r="S810" s="2"/>
      <c r="T810" s="2"/>
      <c r="U810" s="2"/>
      <c r="V810" s="2"/>
      <c r="W810" s="2"/>
      <c r="X810" s="2"/>
      <c r="Y810" s="2"/>
      <c r="Z810" s="2"/>
    </row>
    <row r="811" ht="15.75" customHeight="1">
      <c r="A811" s="2"/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 s="2"/>
      <c r="O811" s="2"/>
      <c r="P811" s="2"/>
      <c r="Q811" s="2"/>
      <c r="R811" s="2"/>
      <c r="S811" s="2"/>
      <c r="T811" s="2"/>
      <c r="U811" s="2"/>
      <c r="V811" s="2"/>
      <c r="W811" s="2"/>
      <c r="X811" s="2"/>
      <c r="Y811" s="2"/>
      <c r="Z811" s="2"/>
    </row>
    <row r="812" ht="15.75" customHeight="1">
      <c r="A812" s="2"/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 s="2"/>
      <c r="O812" s="2"/>
      <c r="P812" s="2"/>
      <c r="Q812" s="2"/>
      <c r="R812" s="2"/>
      <c r="S812" s="2"/>
      <c r="T812" s="2"/>
      <c r="U812" s="2"/>
      <c r="V812" s="2"/>
      <c r="W812" s="2"/>
      <c r="X812" s="2"/>
      <c r="Y812" s="2"/>
      <c r="Z812" s="2"/>
    </row>
    <row r="813" ht="15.75" customHeight="1">
      <c r="A813" s="2"/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 s="2"/>
      <c r="O813" s="2"/>
      <c r="P813" s="2"/>
      <c r="Q813" s="2"/>
      <c r="R813" s="2"/>
      <c r="S813" s="2"/>
      <c r="T813" s="2"/>
      <c r="U813" s="2"/>
      <c r="V813" s="2"/>
      <c r="W813" s="2"/>
      <c r="X813" s="2"/>
      <c r="Y813" s="2"/>
      <c r="Z813" s="2"/>
    </row>
    <row r="814" ht="15.75" customHeight="1">
      <c r="A814" s="2"/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 s="2"/>
      <c r="O814" s="2"/>
      <c r="P814" s="2"/>
      <c r="Q814" s="2"/>
      <c r="R814" s="2"/>
      <c r="S814" s="2"/>
      <c r="T814" s="2"/>
      <c r="U814" s="2"/>
      <c r="V814" s="2"/>
      <c r="W814" s="2"/>
      <c r="X814" s="2"/>
      <c r="Y814" s="2"/>
      <c r="Z814" s="2"/>
    </row>
    <row r="815" ht="15.75" customHeight="1">
      <c r="A815" s="2"/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 s="2"/>
      <c r="O815" s="2"/>
      <c r="P815" s="2"/>
      <c r="Q815" s="2"/>
      <c r="R815" s="2"/>
      <c r="S815" s="2"/>
      <c r="T815" s="2"/>
      <c r="U815" s="2"/>
      <c r="V815" s="2"/>
      <c r="W815" s="2"/>
      <c r="X815" s="2"/>
      <c r="Y815" s="2"/>
      <c r="Z815" s="2"/>
    </row>
    <row r="816" ht="15.75" customHeight="1">
      <c r="A816" s="2"/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 s="2"/>
      <c r="O816" s="2"/>
      <c r="P816" s="2"/>
      <c r="Q816" s="2"/>
      <c r="R816" s="2"/>
      <c r="S816" s="2"/>
      <c r="T816" s="2"/>
      <c r="U816" s="2"/>
      <c r="V816" s="2"/>
      <c r="W816" s="2"/>
      <c r="X816" s="2"/>
      <c r="Y816" s="2"/>
      <c r="Z816" s="2"/>
    </row>
    <row r="817" ht="15.75" customHeight="1">
      <c r="A817" s="2"/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 s="2"/>
      <c r="O817" s="2"/>
      <c r="P817" s="2"/>
      <c r="Q817" s="2"/>
      <c r="R817" s="2"/>
      <c r="S817" s="2"/>
      <c r="T817" s="2"/>
      <c r="U817" s="2"/>
      <c r="V817" s="2"/>
      <c r="W817" s="2"/>
      <c r="X817" s="2"/>
      <c r="Y817" s="2"/>
      <c r="Z817" s="2"/>
    </row>
    <row r="818" ht="15.75" customHeight="1">
      <c r="A818" s="2"/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 s="2"/>
      <c r="O818" s="2"/>
      <c r="P818" s="2"/>
      <c r="Q818" s="2"/>
      <c r="R818" s="2"/>
      <c r="S818" s="2"/>
      <c r="T818" s="2"/>
      <c r="U818" s="2"/>
      <c r="V818" s="2"/>
      <c r="W818" s="2"/>
      <c r="X818" s="2"/>
      <c r="Y818" s="2"/>
      <c r="Z818" s="2"/>
    </row>
    <row r="819" ht="15.75" customHeight="1">
      <c r="A819" s="2"/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 s="2"/>
      <c r="O819" s="2"/>
      <c r="P819" s="2"/>
      <c r="Q819" s="2"/>
      <c r="R819" s="2"/>
      <c r="S819" s="2"/>
      <c r="T819" s="2"/>
      <c r="U819" s="2"/>
      <c r="V819" s="2"/>
      <c r="W819" s="2"/>
      <c r="X819" s="2"/>
      <c r="Y819" s="2"/>
      <c r="Z819" s="2"/>
    </row>
    <row r="820" ht="15.75" customHeight="1">
      <c r="A820" s="2"/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 s="2"/>
      <c r="O820" s="2"/>
      <c r="P820" s="2"/>
      <c r="Q820" s="2"/>
      <c r="R820" s="2"/>
      <c r="S820" s="2"/>
      <c r="T820" s="2"/>
      <c r="U820" s="2"/>
      <c r="V820" s="2"/>
      <c r="W820" s="2"/>
      <c r="X820" s="2"/>
      <c r="Y820" s="2"/>
      <c r="Z820" s="2"/>
    </row>
    <row r="821" ht="15.75" customHeight="1">
      <c r="A821" s="2"/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 s="2"/>
      <c r="O821" s="2"/>
      <c r="P821" s="2"/>
      <c r="Q821" s="2"/>
      <c r="R821" s="2"/>
      <c r="S821" s="2"/>
      <c r="T821" s="2"/>
      <c r="U821" s="2"/>
      <c r="V821" s="2"/>
      <c r="W821" s="2"/>
      <c r="X821" s="2"/>
      <c r="Y821" s="2"/>
      <c r="Z821" s="2"/>
    </row>
    <row r="822" ht="15.75" customHeight="1">
      <c r="A822" s="2"/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/>
      <c r="P822" s="2"/>
      <c r="Q822" s="2"/>
      <c r="R822" s="2"/>
      <c r="S822" s="2"/>
      <c r="T822" s="2"/>
      <c r="U822" s="2"/>
      <c r="V822" s="2"/>
      <c r="W822" s="2"/>
      <c r="X822" s="2"/>
      <c r="Y822" s="2"/>
      <c r="Z822" s="2"/>
    </row>
    <row r="823" ht="15.75" customHeight="1">
      <c r="A823" s="2"/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 s="2"/>
      <c r="O823" s="2"/>
      <c r="P823" s="2"/>
      <c r="Q823" s="2"/>
      <c r="R823" s="2"/>
      <c r="S823" s="2"/>
      <c r="T823" s="2"/>
      <c r="U823" s="2"/>
      <c r="V823" s="2"/>
      <c r="W823" s="2"/>
      <c r="X823" s="2"/>
      <c r="Y823" s="2"/>
      <c r="Z823" s="2"/>
    </row>
    <row r="824" ht="15.75" customHeight="1">
      <c r="A824" s="2"/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 s="2"/>
      <c r="O824" s="2"/>
      <c r="P824" s="2"/>
      <c r="Q824" s="2"/>
      <c r="R824" s="2"/>
      <c r="S824" s="2"/>
      <c r="T824" s="2"/>
      <c r="U824" s="2"/>
      <c r="V824" s="2"/>
      <c r="W824" s="2"/>
      <c r="X824" s="2"/>
      <c r="Y824" s="2"/>
      <c r="Z824" s="2"/>
    </row>
    <row r="825" ht="15.75" customHeight="1">
      <c r="A825" s="2"/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 s="2"/>
      <c r="O825" s="2"/>
      <c r="P825" s="2"/>
      <c r="Q825" s="2"/>
      <c r="R825" s="2"/>
      <c r="S825" s="2"/>
      <c r="T825" s="2"/>
      <c r="U825" s="2"/>
      <c r="V825" s="2"/>
      <c r="W825" s="2"/>
      <c r="X825" s="2"/>
      <c r="Y825" s="2"/>
      <c r="Z825" s="2"/>
    </row>
    <row r="826" ht="15.75" customHeight="1">
      <c r="A826" s="2"/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 s="2"/>
      <c r="O826" s="2"/>
      <c r="P826" s="2"/>
      <c r="Q826" s="2"/>
      <c r="R826" s="2"/>
      <c r="S826" s="2"/>
      <c r="T826" s="2"/>
      <c r="U826" s="2"/>
      <c r="V826" s="2"/>
      <c r="W826" s="2"/>
      <c r="X826" s="2"/>
      <c r="Y826" s="2"/>
      <c r="Z826" s="2"/>
    </row>
    <row r="827" ht="15.75" customHeight="1">
      <c r="A827" s="2"/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 s="2"/>
      <c r="O827" s="2"/>
      <c r="P827" s="2"/>
      <c r="Q827" s="2"/>
      <c r="R827" s="2"/>
      <c r="S827" s="2"/>
      <c r="T827" s="2"/>
      <c r="U827" s="2"/>
      <c r="V827" s="2"/>
      <c r="W827" s="2"/>
      <c r="X827" s="2"/>
      <c r="Y827" s="2"/>
      <c r="Z827" s="2"/>
    </row>
    <row r="828" ht="15.75" customHeight="1">
      <c r="A828" s="2"/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 s="2"/>
      <c r="O828" s="2"/>
      <c r="P828" s="2"/>
      <c r="Q828" s="2"/>
      <c r="R828" s="2"/>
      <c r="S828" s="2"/>
      <c r="T828" s="2"/>
      <c r="U828" s="2"/>
      <c r="V828" s="2"/>
      <c r="W828" s="2"/>
      <c r="X828" s="2"/>
      <c r="Y828" s="2"/>
      <c r="Z828" s="2"/>
    </row>
    <row r="829" ht="15.75" customHeight="1">
      <c r="A829" s="2"/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 s="2"/>
      <c r="O829" s="2"/>
      <c r="P829" s="2"/>
      <c r="Q829" s="2"/>
      <c r="R829" s="2"/>
      <c r="S829" s="2"/>
      <c r="T829" s="2"/>
      <c r="U829" s="2"/>
      <c r="V829" s="2"/>
      <c r="W829" s="2"/>
      <c r="X829" s="2"/>
      <c r="Y829" s="2"/>
      <c r="Z829" s="2"/>
    </row>
    <row r="830" ht="15.75" customHeight="1">
      <c r="A830" s="2"/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 s="2"/>
      <c r="O830" s="2"/>
      <c r="P830" s="2"/>
      <c r="Q830" s="2"/>
      <c r="R830" s="2"/>
      <c r="S830" s="2"/>
      <c r="T830" s="2"/>
      <c r="U830" s="2"/>
      <c r="V830" s="2"/>
      <c r="W830" s="2"/>
      <c r="X830" s="2"/>
      <c r="Y830" s="2"/>
      <c r="Z830" s="2"/>
    </row>
    <row r="831" ht="15.75" customHeight="1">
      <c r="A831" s="2"/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 s="2"/>
      <c r="O831" s="2"/>
      <c r="P831" s="2"/>
      <c r="Q831" s="2"/>
      <c r="R831" s="2"/>
      <c r="S831" s="2"/>
      <c r="T831" s="2"/>
      <c r="U831" s="2"/>
      <c r="V831" s="2"/>
      <c r="W831" s="2"/>
      <c r="X831" s="2"/>
      <c r="Y831" s="2"/>
      <c r="Z831" s="2"/>
    </row>
    <row r="832" ht="15.75" customHeight="1">
      <c r="A832" s="2"/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 s="2"/>
      <c r="O832" s="2"/>
      <c r="P832" s="2"/>
      <c r="Q832" s="2"/>
      <c r="R832" s="2"/>
      <c r="S832" s="2"/>
      <c r="T832" s="2"/>
      <c r="U832" s="2"/>
      <c r="V832" s="2"/>
      <c r="W832" s="2"/>
      <c r="X832" s="2"/>
      <c r="Y832" s="2"/>
      <c r="Z832" s="2"/>
    </row>
    <row r="833" ht="15.75" customHeight="1">
      <c r="A833" s="2"/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 s="2"/>
      <c r="O833" s="2"/>
      <c r="P833" s="2"/>
      <c r="Q833" s="2"/>
      <c r="R833" s="2"/>
      <c r="S833" s="2"/>
      <c r="T833" s="2"/>
      <c r="U833" s="2"/>
      <c r="V833" s="2"/>
      <c r="W833" s="2"/>
      <c r="X833" s="2"/>
      <c r="Y833" s="2"/>
      <c r="Z833" s="2"/>
    </row>
    <row r="834" ht="15.75" customHeight="1">
      <c r="A834" s="2"/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 s="2"/>
      <c r="O834" s="2"/>
      <c r="P834" s="2"/>
      <c r="Q834" s="2"/>
      <c r="R834" s="2"/>
      <c r="S834" s="2"/>
      <c r="T834" s="2"/>
      <c r="U834" s="2"/>
      <c r="V834" s="2"/>
      <c r="W834" s="2"/>
      <c r="X834" s="2"/>
      <c r="Y834" s="2"/>
      <c r="Z834" s="2"/>
    </row>
    <row r="835" ht="15.75" customHeight="1">
      <c r="A835" s="2"/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 s="2"/>
      <c r="O835" s="2"/>
      <c r="P835" s="2"/>
      <c r="Q835" s="2"/>
      <c r="R835" s="2"/>
      <c r="S835" s="2"/>
      <c r="T835" s="2"/>
      <c r="U835" s="2"/>
      <c r="V835" s="2"/>
      <c r="W835" s="2"/>
      <c r="X835" s="2"/>
      <c r="Y835" s="2"/>
      <c r="Z835" s="2"/>
    </row>
    <row r="836" ht="15.75" customHeight="1">
      <c r="A836" s="2"/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 s="2"/>
      <c r="O836" s="2"/>
      <c r="P836" s="2"/>
      <c r="Q836" s="2"/>
      <c r="R836" s="2"/>
      <c r="S836" s="2"/>
      <c r="T836" s="2"/>
      <c r="U836" s="2"/>
      <c r="V836" s="2"/>
      <c r="W836" s="2"/>
      <c r="X836" s="2"/>
      <c r="Y836" s="2"/>
      <c r="Z836" s="2"/>
    </row>
    <row r="837" ht="15.75" customHeight="1">
      <c r="A837" s="2"/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 s="2"/>
      <c r="O837" s="2"/>
      <c r="P837" s="2"/>
      <c r="Q837" s="2"/>
      <c r="R837" s="2"/>
      <c r="S837" s="2"/>
      <c r="T837" s="2"/>
      <c r="U837" s="2"/>
      <c r="V837" s="2"/>
      <c r="W837" s="2"/>
      <c r="X837" s="2"/>
      <c r="Y837" s="2"/>
      <c r="Z837" s="2"/>
    </row>
    <row r="838" ht="15.75" customHeight="1">
      <c r="A838" s="2"/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 s="2"/>
      <c r="O838" s="2"/>
      <c r="P838" s="2"/>
      <c r="Q838" s="2"/>
      <c r="R838" s="2"/>
      <c r="S838" s="2"/>
      <c r="T838" s="2"/>
      <c r="U838" s="2"/>
      <c r="V838" s="2"/>
      <c r="W838" s="2"/>
      <c r="X838" s="2"/>
      <c r="Y838" s="2"/>
      <c r="Z838" s="2"/>
    </row>
    <row r="839" ht="15.75" customHeight="1">
      <c r="A839" s="2"/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/>
      <c r="P839" s="2"/>
      <c r="Q839" s="2"/>
      <c r="R839" s="2"/>
      <c r="S839" s="2"/>
      <c r="T839" s="2"/>
      <c r="U839" s="2"/>
      <c r="V839" s="2"/>
      <c r="W839" s="2"/>
      <c r="X839" s="2"/>
      <c r="Y839" s="2"/>
      <c r="Z839" s="2"/>
    </row>
    <row r="840" ht="15.75" customHeight="1">
      <c r="A840" s="2"/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 s="2"/>
      <c r="O840" s="2"/>
      <c r="P840" s="2"/>
      <c r="Q840" s="2"/>
      <c r="R840" s="2"/>
      <c r="S840" s="2"/>
      <c r="T840" s="2"/>
      <c r="U840" s="2"/>
      <c r="V840" s="2"/>
      <c r="W840" s="2"/>
      <c r="X840" s="2"/>
      <c r="Y840" s="2"/>
      <c r="Z840" s="2"/>
    </row>
    <row r="841" ht="15.75" customHeight="1">
      <c r="A841" s="2"/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 s="2"/>
      <c r="O841" s="2"/>
      <c r="P841" s="2"/>
      <c r="Q841" s="2"/>
      <c r="R841" s="2"/>
      <c r="S841" s="2"/>
      <c r="T841" s="2"/>
      <c r="U841" s="2"/>
      <c r="V841" s="2"/>
      <c r="W841" s="2"/>
      <c r="X841" s="2"/>
      <c r="Y841" s="2"/>
      <c r="Z841" s="2"/>
    </row>
    <row r="842" ht="15.75" customHeight="1">
      <c r="A842" s="2"/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/>
      <c r="P842" s="2"/>
      <c r="Q842" s="2"/>
      <c r="R842" s="2"/>
      <c r="S842" s="2"/>
      <c r="T842" s="2"/>
      <c r="U842" s="2"/>
      <c r="V842" s="2"/>
      <c r="W842" s="2"/>
      <c r="X842" s="2"/>
      <c r="Y842" s="2"/>
      <c r="Z842" s="2"/>
    </row>
    <row r="843" ht="15.75" customHeight="1">
      <c r="A843" s="2"/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 s="2"/>
      <c r="O843" s="2"/>
      <c r="P843" s="2"/>
      <c r="Q843" s="2"/>
      <c r="R843" s="2"/>
      <c r="S843" s="2"/>
      <c r="T843" s="2"/>
      <c r="U843" s="2"/>
      <c r="V843" s="2"/>
      <c r="W843" s="2"/>
      <c r="X843" s="2"/>
      <c r="Y843" s="2"/>
      <c r="Z843" s="2"/>
    </row>
    <row r="844" ht="15.75" customHeight="1">
      <c r="A844" s="2"/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/>
      <c r="P844" s="2"/>
      <c r="Q844" s="2"/>
      <c r="R844" s="2"/>
      <c r="S844" s="2"/>
      <c r="T844" s="2"/>
      <c r="U844" s="2"/>
      <c r="V844" s="2"/>
      <c r="W844" s="2"/>
      <c r="X844" s="2"/>
      <c r="Y844" s="2"/>
      <c r="Z844" s="2"/>
    </row>
    <row r="845" ht="15.75" customHeight="1">
      <c r="A845" s="2"/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 s="2"/>
      <c r="O845" s="2"/>
      <c r="P845" s="2"/>
      <c r="Q845" s="2"/>
      <c r="R845" s="2"/>
      <c r="S845" s="2"/>
      <c r="T845" s="2"/>
      <c r="U845" s="2"/>
      <c r="V845" s="2"/>
      <c r="W845" s="2"/>
      <c r="X845" s="2"/>
      <c r="Y845" s="2"/>
      <c r="Z845" s="2"/>
    </row>
    <row r="846" ht="15.75" customHeight="1">
      <c r="A846" s="2"/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 s="2"/>
      <c r="O846" s="2"/>
      <c r="P846" s="2"/>
      <c r="Q846" s="2"/>
      <c r="R846" s="2"/>
      <c r="S846" s="2"/>
      <c r="T846" s="2"/>
      <c r="U846" s="2"/>
      <c r="V846" s="2"/>
      <c r="W846" s="2"/>
      <c r="X846" s="2"/>
      <c r="Y846" s="2"/>
      <c r="Z846" s="2"/>
    </row>
    <row r="847" ht="15.75" customHeight="1">
      <c r="A847" s="2"/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 s="2"/>
      <c r="O847" s="2"/>
      <c r="P847" s="2"/>
      <c r="Q847" s="2"/>
      <c r="R847" s="2"/>
      <c r="S847" s="2"/>
      <c r="T847" s="2"/>
      <c r="U847" s="2"/>
      <c r="V847" s="2"/>
      <c r="W847" s="2"/>
      <c r="X847" s="2"/>
      <c r="Y847" s="2"/>
      <c r="Z847" s="2"/>
    </row>
    <row r="848" ht="15.75" customHeight="1">
      <c r="A848" s="2"/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 s="2"/>
      <c r="O848" s="2"/>
      <c r="P848" s="2"/>
      <c r="Q848" s="2"/>
      <c r="R848" s="2"/>
      <c r="S848" s="2"/>
      <c r="T848" s="2"/>
      <c r="U848" s="2"/>
      <c r="V848" s="2"/>
      <c r="W848" s="2"/>
      <c r="X848" s="2"/>
      <c r="Y848" s="2"/>
      <c r="Z848" s="2"/>
    </row>
    <row r="849" ht="15.75" customHeight="1">
      <c r="A849" s="2"/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 s="2"/>
      <c r="O849" s="2"/>
      <c r="P849" s="2"/>
      <c r="Q849" s="2"/>
      <c r="R849" s="2"/>
      <c r="S849" s="2"/>
      <c r="T849" s="2"/>
      <c r="U849" s="2"/>
      <c r="V849" s="2"/>
      <c r="W849" s="2"/>
      <c r="X849" s="2"/>
      <c r="Y849" s="2"/>
      <c r="Z849" s="2"/>
    </row>
    <row r="850" ht="15.75" customHeight="1">
      <c r="A850" s="2"/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 s="2"/>
      <c r="O850" s="2"/>
      <c r="P850" s="2"/>
      <c r="Q850" s="2"/>
      <c r="R850" s="2"/>
      <c r="S850" s="2"/>
      <c r="T850" s="2"/>
      <c r="U850" s="2"/>
      <c r="V850" s="2"/>
      <c r="W850" s="2"/>
      <c r="X850" s="2"/>
      <c r="Y850" s="2"/>
      <c r="Z850" s="2"/>
    </row>
    <row r="851" ht="15.75" customHeight="1">
      <c r="A851" s="2"/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 s="2"/>
      <c r="O851" s="2"/>
      <c r="P851" s="2"/>
      <c r="Q851" s="2"/>
      <c r="R851" s="2"/>
      <c r="S851" s="2"/>
      <c r="T851" s="2"/>
      <c r="U851" s="2"/>
      <c r="V851" s="2"/>
      <c r="W851" s="2"/>
      <c r="X851" s="2"/>
      <c r="Y851" s="2"/>
      <c r="Z851" s="2"/>
    </row>
    <row r="852" ht="15.75" customHeight="1">
      <c r="A852" s="2"/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 s="2"/>
      <c r="O852" s="2"/>
      <c r="P852" s="2"/>
      <c r="Q852" s="2"/>
      <c r="R852" s="2"/>
      <c r="S852" s="2"/>
      <c r="T852" s="2"/>
      <c r="U852" s="2"/>
      <c r="V852" s="2"/>
      <c r="W852" s="2"/>
      <c r="X852" s="2"/>
      <c r="Y852" s="2"/>
      <c r="Z852" s="2"/>
    </row>
    <row r="853" ht="15.75" customHeight="1">
      <c r="A853" s="2"/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 s="2"/>
      <c r="O853" s="2"/>
      <c r="P853" s="2"/>
      <c r="Q853" s="2"/>
      <c r="R853" s="2"/>
      <c r="S853" s="2"/>
      <c r="T853" s="2"/>
      <c r="U853" s="2"/>
      <c r="V853" s="2"/>
      <c r="W853" s="2"/>
      <c r="X853" s="2"/>
      <c r="Y853" s="2"/>
      <c r="Z853" s="2"/>
    </row>
    <row r="854" ht="15.75" customHeight="1">
      <c r="A854" s="2"/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/>
      <c r="P854" s="2"/>
      <c r="Q854" s="2"/>
      <c r="R854" s="2"/>
      <c r="S854" s="2"/>
      <c r="T854" s="2"/>
      <c r="U854" s="2"/>
      <c r="V854" s="2"/>
      <c r="W854" s="2"/>
      <c r="X854" s="2"/>
      <c r="Y854" s="2"/>
      <c r="Z854" s="2"/>
    </row>
    <row r="855" ht="15.75" customHeight="1">
      <c r="A855" s="2"/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 s="2"/>
      <c r="O855" s="2"/>
      <c r="P855" s="2"/>
      <c r="Q855" s="2"/>
      <c r="R855" s="2"/>
      <c r="S855" s="2"/>
      <c r="T855" s="2"/>
      <c r="U855" s="2"/>
      <c r="V855" s="2"/>
      <c r="W855" s="2"/>
      <c r="X855" s="2"/>
      <c r="Y855" s="2"/>
      <c r="Z855" s="2"/>
    </row>
    <row r="856" ht="15.75" customHeight="1">
      <c r="A856" s="2"/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 s="2"/>
      <c r="O856" s="2"/>
      <c r="P856" s="2"/>
      <c r="Q856" s="2"/>
      <c r="R856" s="2"/>
      <c r="S856" s="2"/>
      <c r="T856" s="2"/>
      <c r="U856" s="2"/>
      <c r="V856" s="2"/>
      <c r="W856" s="2"/>
      <c r="X856" s="2"/>
      <c r="Y856" s="2"/>
      <c r="Z856" s="2"/>
    </row>
    <row r="857" ht="15.75" customHeight="1">
      <c r="A857" s="2"/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 s="2"/>
      <c r="O857" s="2"/>
      <c r="P857" s="2"/>
      <c r="Q857" s="2"/>
      <c r="R857" s="2"/>
      <c r="S857" s="2"/>
      <c r="T857" s="2"/>
      <c r="U857" s="2"/>
      <c r="V857" s="2"/>
      <c r="W857" s="2"/>
      <c r="X857" s="2"/>
      <c r="Y857" s="2"/>
      <c r="Z857" s="2"/>
    </row>
    <row r="858" ht="15.75" customHeight="1">
      <c r="A858" s="2"/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 s="2"/>
      <c r="O858" s="2"/>
      <c r="P858" s="2"/>
      <c r="Q858" s="2"/>
      <c r="R858" s="2"/>
      <c r="S858" s="2"/>
      <c r="T858" s="2"/>
      <c r="U858" s="2"/>
      <c r="V858" s="2"/>
      <c r="W858" s="2"/>
      <c r="X858" s="2"/>
      <c r="Y858" s="2"/>
      <c r="Z858" s="2"/>
    </row>
    <row r="859" ht="15.75" customHeight="1">
      <c r="A859" s="2"/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 s="2"/>
      <c r="O859" s="2"/>
      <c r="P859" s="2"/>
      <c r="Q859" s="2"/>
      <c r="R859" s="2"/>
      <c r="S859" s="2"/>
      <c r="T859" s="2"/>
      <c r="U859" s="2"/>
      <c r="V859" s="2"/>
      <c r="W859" s="2"/>
      <c r="X859" s="2"/>
      <c r="Y859" s="2"/>
      <c r="Z859" s="2"/>
    </row>
    <row r="860" ht="15.75" customHeight="1">
      <c r="A860" s="2"/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 s="2"/>
      <c r="O860" s="2"/>
      <c r="P860" s="2"/>
      <c r="Q860" s="2"/>
      <c r="R860" s="2"/>
      <c r="S860" s="2"/>
      <c r="T860" s="2"/>
      <c r="U860" s="2"/>
      <c r="V860" s="2"/>
      <c r="W860" s="2"/>
      <c r="X860" s="2"/>
      <c r="Y860" s="2"/>
      <c r="Z860" s="2"/>
    </row>
    <row r="861" ht="15.75" customHeight="1">
      <c r="A861" s="2"/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 s="2"/>
      <c r="O861" s="2"/>
      <c r="P861" s="2"/>
      <c r="Q861" s="2"/>
      <c r="R861" s="2"/>
      <c r="S861" s="2"/>
      <c r="T861" s="2"/>
      <c r="U861" s="2"/>
      <c r="V861" s="2"/>
      <c r="W861" s="2"/>
      <c r="X861" s="2"/>
      <c r="Y861" s="2"/>
      <c r="Z861" s="2"/>
    </row>
    <row r="862" ht="15.75" customHeight="1">
      <c r="A862" s="2"/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 s="2"/>
      <c r="O862" s="2"/>
      <c r="P862" s="2"/>
      <c r="Q862" s="2"/>
      <c r="R862" s="2"/>
      <c r="S862" s="2"/>
      <c r="T862" s="2"/>
      <c r="U862" s="2"/>
      <c r="V862" s="2"/>
      <c r="W862" s="2"/>
      <c r="X862" s="2"/>
      <c r="Y862" s="2"/>
      <c r="Z862" s="2"/>
    </row>
    <row r="863" ht="15.75" customHeight="1">
      <c r="A863" s="2"/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 s="2"/>
      <c r="O863" s="2"/>
      <c r="P863" s="2"/>
      <c r="Q863" s="2"/>
      <c r="R863" s="2"/>
      <c r="S863" s="2"/>
      <c r="T863" s="2"/>
      <c r="U863" s="2"/>
      <c r="V863" s="2"/>
      <c r="W863" s="2"/>
      <c r="X863" s="2"/>
      <c r="Y863" s="2"/>
      <c r="Z863" s="2"/>
    </row>
    <row r="864" ht="15.75" customHeight="1">
      <c r="A864" s="2"/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 s="2"/>
      <c r="O864" s="2"/>
      <c r="P864" s="2"/>
      <c r="Q864" s="2"/>
      <c r="R864" s="2"/>
      <c r="S864" s="2"/>
      <c r="T864" s="2"/>
      <c r="U864" s="2"/>
      <c r="V864" s="2"/>
      <c r="W864" s="2"/>
      <c r="X864" s="2"/>
      <c r="Y864" s="2"/>
      <c r="Z864" s="2"/>
    </row>
    <row r="865" ht="15.75" customHeight="1">
      <c r="A865" s="2"/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 s="2"/>
      <c r="O865" s="2"/>
      <c r="P865" s="2"/>
      <c r="Q865" s="2"/>
      <c r="R865" s="2"/>
      <c r="S865" s="2"/>
      <c r="T865" s="2"/>
      <c r="U865" s="2"/>
      <c r="V865" s="2"/>
      <c r="W865" s="2"/>
      <c r="X865" s="2"/>
      <c r="Y865" s="2"/>
      <c r="Z865" s="2"/>
    </row>
    <row r="866" ht="15.75" customHeight="1">
      <c r="A866" s="2"/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 s="2"/>
      <c r="O866" s="2"/>
      <c r="P866" s="2"/>
      <c r="Q866" s="2"/>
      <c r="R866" s="2"/>
      <c r="S866" s="2"/>
      <c r="T866" s="2"/>
      <c r="U866" s="2"/>
      <c r="V866" s="2"/>
      <c r="W866" s="2"/>
      <c r="X866" s="2"/>
      <c r="Y866" s="2"/>
      <c r="Z866" s="2"/>
    </row>
    <row r="867" ht="15.75" customHeight="1">
      <c r="A867" s="2"/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 s="2"/>
      <c r="O867" s="2"/>
      <c r="P867" s="2"/>
      <c r="Q867" s="2"/>
      <c r="R867" s="2"/>
      <c r="S867" s="2"/>
      <c r="T867" s="2"/>
      <c r="U867" s="2"/>
      <c r="V867" s="2"/>
      <c r="W867" s="2"/>
      <c r="X867" s="2"/>
      <c r="Y867" s="2"/>
      <c r="Z867" s="2"/>
    </row>
    <row r="868" ht="15.75" customHeight="1">
      <c r="A868" s="2"/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 s="2"/>
      <c r="O868" s="2"/>
      <c r="P868" s="2"/>
      <c r="Q868" s="2"/>
      <c r="R868" s="2"/>
      <c r="S868" s="2"/>
      <c r="T868" s="2"/>
      <c r="U868" s="2"/>
      <c r="V868" s="2"/>
      <c r="W868" s="2"/>
      <c r="X868" s="2"/>
      <c r="Y868" s="2"/>
      <c r="Z868" s="2"/>
    </row>
    <row r="869" ht="15.75" customHeight="1">
      <c r="A869" s="2"/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 s="2"/>
      <c r="O869" s="2"/>
      <c r="P869" s="2"/>
      <c r="Q869" s="2"/>
      <c r="R869" s="2"/>
      <c r="S869" s="2"/>
      <c r="T869" s="2"/>
      <c r="U869" s="2"/>
      <c r="V869" s="2"/>
      <c r="W869" s="2"/>
      <c r="X869" s="2"/>
      <c r="Y869" s="2"/>
      <c r="Z869" s="2"/>
    </row>
    <row r="870" ht="15.75" customHeight="1">
      <c r="A870" s="2"/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 s="2"/>
      <c r="O870" s="2"/>
      <c r="P870" s="2"/>
      <c r="Q870" s="2"/>
      <c r="R870" s="2"/>
      <c r="S870" s="2"/>
      <c r="T870" s="2"/>
      <c r="U870" s="2"/>
      <c r="V870" s="2"/>
      <c r="W870" s="2"/>
      <c r="X870" s="2"/>
      <c r="Y870" s="2"/>
      <c r="Z870" s="2"/>
    </row>
    <row r="871" ht="15.75" customHeight="1">
      <c r="A871" s="2"/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 s="2"/>
      <c r="O871" s="2"/>
      <c r="P871" s="2"/>
      <c r="Q871" s="2"/>
      <c r="R871" s="2"/>
      <c r="S871" s="2"/>
      <c r="T871" s="2"/>
      <c r="U871" s="2"/>
      <c r="V871" s="2"/>
      <c r="W871" s="2"/>
      <c r="X871" s="2"/>
      <c r="Y871" s="2"/>
      <c r="Z871" s="2"/>
    </row>
    <row r="872" ht="15.75" customHeight="1">
      <c r="A872" s="2"/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/>
      <c r="P872" s="2"/>
      <c r="Q872" s="2"/>
      <c r="R872" s="2"/>
      <c r="S872" s="2"/>
      <c r="T872" s="2"/>
      <c r="U872" s="2"/>
      <c r="V872" s="2"/>
      <c r="W872" s="2"/>
      <c r="X872" s="2"/>
      <c r="Y872" s="2"/>
      <c r="Z872" s="2"/>
    </row>
    <row r="873" ht="15.75" customHeight="1">
      <c r="A873" s="2"/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/>
      <c r="P873" s="2"/>
      <c r="Q873" s="2"/>
      <c r="R873" s="2"/>
      <c r="S873" s="2"/>
      <c r="T873" s="2"/>
      <c r="U873" s="2"/>
      <c r="V873" s="2"/>
      <c r="W873" s="2"/>
      <c r="X873" s="2"/>
      <c r="Y873" s="2"/>
      <c r="Z873" s="2"/>
    </row>
    <row r="874" ht="15.75" customHeight="1">
      <c r="A874" s="2"/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 s="2"/>
      <c r="O874" s="2"/>
      <c r="P874" s="2"/>
      <c r="Q874" s="2"/>
      <c r="R874" s="2"/>
      <c r="S874" s="2"/>
      <c r="T874" s="2"/>
      <c r="U874" s="2"/>
      <c r="V874" s="2"/>
      <c r="W874" s="2"/>
      <c r="X874" s="2"/>
      <c r="Y874" s="2"/>
      <c r="Z874" s="2"/>
    </row>
    <row r="875" ht="15.75" customHeight="1">
      <c r="A875" s="2"/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 s="2"/>
      <c r="O875" s="2"/>
      <c r="P875" s="2"/>
      <c r="Q875" s="2"/>
      <c r="R875" s="2"/>
      <c r="S875" s="2"/>
      <c r="T875" s="2"/>
      <c r="U875" s="2"/>
      <c r="V875" s="2"/>
      <c r="W875" s="2"/>
      <c r="X875" s="2"/>
      <c r="Y875" s="2"/>
      <c r="Z875" s="2"/>
    </row>
    <row r="876" ht="15.75" customHeight="1">
      <c r="A876" s="2"/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 s="2"/>
      <c r="O876" s="2"/>
      <c r="P876" s="2"/>
      <c r="Q876" s="2"/>
      <c r="R876" s="2"/>
      <c r="S876" s="2"/>
      <c r="T876" s="2"/>
      <c r="U876" s="2"/>
      <c r="V876" s="2"/>
      <c r="W876" s="2"/>
      <c r="X876" s="2"/>
      <c r="Y876" s="2"/>
      <c r="Z876" s="2"/>
    </row>
    <row r="877" ht="15.75" customHeight="1">
      <c r="A877" s="2"/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 s="2"/>
      <c r="O877" s="2"/>
      <c r="P877" s="2"/>
      <c r="Q877" s="2"/>
      <c r="R877" s="2"/>
      <c r="S877" s="2"/>
      <c r="T877" s="2"/>
      <c r="U877" s="2"/>
      <c r="V877" s="2"/>
      <c r="W877" s="2"/>
      <c r="X877" s="2"/>
      <c r="Y877" s="2"/>
      <c r="Z877" s="2"/>
    </row>
    <row r="878" ht="15.75" customHeight="1">
      <c r="A878" s="2"/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 s="2"/>
      <c r="O878" s="2"/>
      <c r="P878" s="2"/>
      <c r="Q878" s="2"/>
      <c r="R878" s="2"/>
      <c r="S878" s="2"/>
      <c r="T878" s="2"/>
      <c r="U878" s="2"/>
      <c r="V878" s="2"/>
      <c r="W878" s="2"/>
      <c r="X878" s="2"/>
      <c r="Y878" s="2"/>
      <c r="Z878" s="2"/>
    </row>
    <row r="879" ht="15.75" customHeight="1">
      <c r="A879" s="2"/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/>
      <c r="P879" s="2"/>
      <c r="Q879" s="2"/>
      <c r="R879" s="2"/>
      <c r="S879" s="2"/>
      <c r="T879" s="2"/>
      <c r="U879" s="2"/>
      <c r="V879" s="2"/>
      <c r="W879" s="2"/>
      <c r="X879" s="2"/>
      <c r="Y879" s="2"/>
      <c r="Z879" s="2"/>
    </row>
    <row r="880" ht="15.75" customHeight="1">
      <c r="A880" s="2"/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 s="2"/>
      <c r="O880" s="2"/>
      <c r="P880" s="2"/>
      <c r="Q880" s="2"/>
      <c r="R880" s="2"/>
      <c r="S880" s="2"/>
      <c r="T880" s="2"/>
      <c r="U880" s="2"/>
      <c r="V880" s="2"/>
      <c r="W880" s="2"/>
      <c r="X880" s="2"/>
      <c r="Y880" s="2"/>
      <c r="Z880" s="2"/>
    </row>
    <row r="881" ht="15.75" customHeight="1">
      <c r="A881" s="2"/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 s="2"/>
      <c r="O881" s="2"/>
      <c r="P881" s="2"/>
      <c r="Q881" s="2"/>
      <c r="R881" s="2"/>
      <c r="S881" s="2"/>
      <c r="T881" s="2"/>
      <c r="U881" s="2"/>
      <c r="V881" s="2"/>
      <c r="W881" s="2"/>
      <c r="X881" s="2"/>
      <c r="Y881" s="2"/>
      <c r="Z881" s="2"/>
    </row>
    <row r="882" ht="15.75" customHeight="1">
      <c r="A882" s="2"/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 s="2"/>
      <c r="O882" s="2"/>
      <c r="P882" s="2"/>
      <c r="Q882" s="2"/>
      <c r="R882" s="2"/>
      <c r="S882" s="2"/>
      <c r="T882" s="2"/>
      <c r="U882" s="2"/>
      <c r="V882" s="2"/>
      <c r="W882" s="2"/>
      <c r="X882" s="2"/>
      <c r="Y882" s="2"/>
      <c r="Z882" s="2"/>
    </row>
    <row r="883" ht="15.75" customHeight="1">
      <c r="A883" s="2"/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2"/>
      <c r="P883" s="2"/>
      <c r="Q883" s="2"/>
      <c r="R883" s="2"/>
      <c r="S883" s="2"/>
      <c r="T883" s="2"/>
      <c r="U883" s="2"/>
      <c r="V883" s="2"/>
      <c r="W883" s="2"/>
      <c r="X883" s="2"/>
      <c r="Y883" s="2"/>
      <c r="Z883" s="2"/>
    </row>
    <row r="884" ht="15.75" customHeight="1">
      <c r="A884" s="2"/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 s="2"/>
      <c r="O884" s="2"/>
      <c r="P884" s="2"/>
      <c r="Q884" s="2"/>
      <c r="R884" s="2"/>
      <c r="S884" s="2"/>
      <c r="T884" s="2"/>
      <c r="U884" s="2"/>
      <c r="V884" s="2"/>
      <c r="W884" s="2"/>
      <c r="X884" s="2"/>
      <c r="Y884" s="2"/>
      <c r="Z884" s="2"/>
    </row>
    <row r="885" ht="15.75" customHeight="1">
      <c r="A885" s="2"/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 s="2"/>
      <c r="O885" s="2"/>
      <c r="P885" s="2"/>
      <c r="Q885" s="2"/>
      <c r="R885" s="2"/>
      <c r="S885" s="2"/>
      <c r="T885" s="2"/>
      <c r="U885" s="2"/>
      <c r="V885" s="2"/>
      <c r="W885" s="2"/>
      <c r="X885" s="2"/>
      <c r="Y885" s="2"/>
      <c r="Z885" s="2"/>
    </row>
    <row r="886" ht="15.75" customHeight="1">
      <c r="A886" s="2"/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 s="2"/>
      <c r="O886" s="2"/>
      <c r="P886" s="2"/>
      <c r="Q886" s="2"/>
      <c r="R886" s="2"/>
      <c r="S886" s="2"/>
      <c r="T886" s="2"/>
      <c r="U886" s="2"/>
      <c r="V886" s="2"/>
      <c r="W886" s="2"/>
      <c r="X886" s="2"/>
      <c r="Y886" s="2"/>
      <c r="Z886" s="2"/>
    </row>
    <row r="887" ht="15.75" customHeight="1">
      <c r="A887" s="2"/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 s="2"/>
      <c r="O887" s="2"/>
      <c r="P887" s="2"/>
      <c r="Q887" s="2"/>
      <c r="R887" s="2"/>
      <c r="S887" s="2"/>
      <c r="T887" s="2"/>
      <c r="U887" s="2"/>
      <c r="V887" s="2"/>
      <c r="W887" s="2"/>
      <c r="X887" s="2"/>
      <c r="Y887" s="2"/>
      <c r="Z887" s="2"/>
    </row>
    <row r="888" ht="15.75" customHeight="1">
      <c r="A888" s="2"/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 s="2"/>
      <c r="O888" s="2"/>
      <c r="P888" s="2"/>
      <c r="Q888" s="2"/>
      <c r="R888" s="2"/>
      <c r="S888" s="2"/>
      <c r="T888" s="2"/>
      <c r="U888" s="2"/>
      <c r="V888" s="2"/>
      <c r="W888" s="2"/>
      <c r="X888" s="2"/>
      <c r="Y888" s="2"/>
      <c r="Z888" s="2"/>
    </row>
    <row r="889" ht="15.75" customHeight="1">
      <c r="A889" s="2"/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 s="2"/>
      <c r="O889" s="2"/>
      <c r="P889" s="2"/>
      <c r="Q889" s="2"/>
      <c r="R889" s="2"/>
      <c r="S889" s="2"/>
      <c r="T889" s="2"/>
      <c r="U889" s="2"/>
      <c r="V889" s="2"/>
      <c r="W889" s="2"/>
      <c r="X889" s="2"/>
      <c r="Y889" s="2"/>
      <c r="Z889" s="2"/>
    </row>
    <row r="890" ht="15.75" customHeight="1">
      <c r="A890" s="2"/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 s="2"/>
      <c r="O890" s="2"/>
      <c r="P890" s="2"/>
      <c r="Q890" s="2"/>
      <c r="R890" s="2"/>
      <c r="S890" s="2"/>
      <c r="T890" s="2"/>
      <c r="U890" s="2"/>
      <c r="V890" s="2"/>
      <c r="W890" s="2"/>
      <c r="X890" s="2"/>
      <c r="Y890" s="2"/>
      <c r="Z890" s="2"/>
    </row>
    <row r="891" ht="15.75" customHeight="1">
      <c r="A891" s="2"/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 s="2"/>
      <c r="O891" s="2"/>
      <c r="P891" s="2"/>
      <c r="Q891" s="2"/>
      <c r="R891" s="2"/>
      <c r="S891" s="2"/>
      <c r="T891" s="2"/>
      <c r="U891" s="2"/>
      <c r="V891" s="2"/>
      <c r="W891" s="2"/>
      <c r="X891" s="2"/>
      <c r="Y891" s="2"/>
      <c r="Z891" s="2"/>
    </row>
    <row r="892" ht="15.75" customHeight="1">
      <c r="A892" s="2"/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 s="2"/>
      <c r="O892" s="2"/>
      <c r="P892" s="2"/>
      <c r="Q892" s="2"/>
      <c r="R892" s="2"/>
      <c r="S892" s="2"/>
      <c r="T892" s="2"/>
      <c r="U892" s="2"/>
      <c r="V892" s="2"/>
      <c r="W892" s="2"/>
      <c r="X892" s="2"/>
      <c r="Y892" s="2"/>
      <c r="Z892" s="2"/>
    </row>
    <row r="893" ht="15.75" customHeight="1">
      <c r="A893" s="2"/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 s="2"/>
      <c r="O893" s="2"/>
      <c r="P893" s="2"/>
      <c r="Q893" s="2"/>
      <c r="R893" s="2"/>
      <c r="S893" s="2"/>
      <c r="T893" s="2"/>
      <c r="U893" s="2"/>
      <c r="V893" s="2"/>
      <c r="W893" s="2"/>
      <c r="X893" s="2"/>
      <c r="Y893" s="2"/>
      <c r="Z893" s="2"/>
    </row>
    <row r="894" ht="15.75" customHeight="1">
      <c r="A894" s="2"/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 s="2"/>
      <c r="O894" s="2"/>
      <c r="P894" s="2"/>
      <c r="Q894" s="2"/>
      <c r="R894" s="2"/>
      <c r="S894" s="2"/>
      <c r="T894" s="2"/>
      <c r="U894" s="2"/>
      <c r="V894" s="2"/>
      <c r="W894" s="2"/>
      <c r="X894" s="2"/>
      <c r="Y894" s="2"/>
      <c r="Z894" s="2"/>
    </row>
    <row r="895" ht="15.75" customHeight="1">
      <c r="A895" s="2"/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 s="2"/>
      <c r="O895" s="2"/>
      <c r="P895" s="2"/>
      <c r="Q895" s="2"/>
      <c r="R895" s="2"/>
      <c r="S895" s="2"/>
      <c r="T895" s="2"/>
      <c r="U895" s="2"/>
      <c r="V895" s="2"/>
      <c r="W895" s="2"/>
      <c r="X895" s="2"/>
      <c r="Y895" s="2"/>
      <c r="Z895" s="2"/>
    </row>
    <row r="896" ht="15.75" customHeight="1">
      <c r="A896" s="2"/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 s="2"/>
      <c r="O896" s="2"/>
      <c r="P896" s="2"/>
      <c r="Q896" s="2"/>
      <c r="R896" s="2"/>
      <c r="S896" s="2"/>
      <c r="T896" s="2"/>
      <c r="U896" s="2"/>
      <c r="V896" s="2"/>
      <c r="W896" s="2"/>
      <c r="X896" s="2"/>
      <c r="Y896" s="2"/>
      <c r="Z896" s="2"/>
    </row>
    <row r="897" ht="15.75" customHeight="1">
      <c r="A897" s="2"/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 s="2"/>
      <c r="O897" s="2"/>
      <c r="P897" s="2"/>
      <c r="Q897" s="2"/>
      <c r="R897" s="2"/>
      <c r="S897" s="2"/>
      <c r="T897" s="2"/>
      <c r="U897" s="2"/>
      <c r="V897" s="2"/>
      <c r="W897" s="2"/>
      <c r="X897" s="2"/>
      <c r="Y897" s="2"/>
      <c r="Z897" s="2"/>
    </row>
    <row r="898" ht="15.75" customHeight="1">
      <c r="A898" s="2"/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 s="2"/>
      <c r="O898" s="2"/>
      <c r="P898" s="2"/>
      <c r="Q898" s="2"/>
      <c r="R898" s="2"/>
      <c r="S898" s="2"/>
      <c r="T898" s="2"/>
      <c r="U898" s="2"/>
      <c r="V898" s="2"/>
      <c r="W898" s="2"/>
      <c r="X898" s="2"/>
      <c r="Y898" s="2"/>
      <c r="Z898" s="2"/>
    </row>
    <row r="899" ht="15.75" customHeight="1">
      <c r="A899" s="2"/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 s="2"/>
      <c r="O899" s="2"/>
      <c r="P899" s="2"/>
      <c r="Q899" s="2"/>
      <c r="R899" s="2"/>
      <c r="S899" s="2"/>
      <c r="T899" s="2"/>
      <c r="U899" s="2"/>
      <c r="V899" s="2"/>
      <c r="W899" s="2"/>
      <c r="X899" s="2"/>
      <c r="Y899" s="2"/>
      <c r="Z899" s="2"/>
    </row>
    <row r="900" ht="15.75" customHeight="1">
      <c r="A900" s="2"/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 s="2"/>
      <c r="O900" s="2"/>
      <c r="P900" s="2"/>
      <c r="Q900" s="2"/>
      <c r="R900" s="2"/>
      <c r="S900" s="2"/>
      <c r="T900" s="2"/>
      <c r="U900" s="2"/>
      <c r="V900" s="2"/>
      <c r="W900" s="2"/>
      <c r="X900" s="2"/>
      <c r="Y900" s="2"/>
      <c r="Z900" s="2"/>
    </row>
    <row r="901" ht="15.75" customHeight="1">
      <c r="A901" s="2"/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 s="2"/>
      <c r="O901" s="2"/>
      <c r="P901" s="2"/>
      <c r="Q901" s="2"/>
      <c r="R901" s="2"/>
      <c r="S901" s="2"/>
      <c r="T901" s="2"/>
      <c r="U901" s="2"/>
      <c r="V901" s="2"/>
      <c r="W901" s="2"/>
      <c r="X901" s="2"/>
      <c r="Y901" s="2"/>
      <c r="Z901" s="2"/>
    </row>
    <row r="902" ht="15.75" customHeight="1">
      <c r="A902" s="2"/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 s="2"/>
      <c r="O902" s="2"/>
      <c r="P902" s="2"/>
      <c r="Q902" s="2"/>
      <c r="R902" s="2"/>
      <c r="S902" s="2"/>
      <c r="T902" s="2"/>
      <c r="U902" s="2"/>
      <c r="V902" s="2"/>
      <c r="W902" s="2"/>
      <c r="X902" s="2"/>
      <c r="Y902" s="2"/>
      <c r="Z902" s="2"/>
    </row>
    <row r="903" ht="15.75" customHeight="1">
      <c r="A903" s="2"/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 s="2"/>
      <c r="O903" s="2"/>
      <c r="P903" s="2"/>
      <c r="Q903" s="2"/>
      <c r="R903" s="2"/>
      <c r="S903" s="2"/>
      <c r="T903" s="2"/>
      <c r="U903" s="2"/>
      <c r="V903" s="2"/>
      <c r="W903" s="2"/>
      <c r="X903" s="2"/>
      <c r="Y903" s="2"/>
      <c r="Z903" s="2"/>
    </row>
    <row r="904" ht="15.75" customHeight="1">
      <c r="A904" s="2"/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 s="2"/>
      <c r="O904" s="2"/>
      <c r="P904" s="2"/>
      <c r="Q904" s="2"/>
      <c r="R904" s="2"/>
      <c r="S904" s="2"/>
      <c r="T904" s="2"/>
      <c r="U904" s="2"/>
      <c r="V904" s="2"/>
      <c r="W904" s="2"/>
      <c r="X904" s="2"/>
      <c r="Y904" s="2"/>
      <c r="Z904" s="2"/>
    </row>
    <row r="905" ht="15.75" customHeight="1">
      <c r="A905" s="2"/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 s="2"/>
      <c r="O905" s="2"/>
      <c r="P905" s="2"/>
      <c r="Q905" s="2"/>
      <c r="R905" s="2"/>
      <c r="S905" s="2"/>
      <c r="T905" s="2"/>
      <c r="U905" s="2"/>
      <c r="V905" s="2"/>
      <c r="W905" s="2"/>
      <c r="X905" s="2"/>
      <c r="Y905" s="2"/>
      <c r="Z905" s="2"/>
    </row>
    <row r="906" ht="15.75" customHeight="1">
      <c r="A906" s="2"/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 s="2"/>
      <c r="O906" s="2"/>
      <c r="P906" s="2"/>
      <c r="Q906" s="2"/>
      <c r="R906" s="2"/>
      <c r="S906" s="2"/>
      <c r="T906" s="2"/>
      <c r="U906" s="2"/>
      <c r="V906" s="2"/>
      <c r="W906" s="2"/>
      <c r="X906" s="2"/>
      <c r="Y906" s="2"/>
      <c r="Z906" s="2"/>
    </row>
    <row r="907" ht="15.75" customHeight="1">
      <c r="A907" s="2"/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 s="2"/>
      <c r="O907" s="2"/>
      <c r="P907" s="2"/>
      <c r="Q907" s="2"/>
      <c r="R907" s="2"/>
      <c r="S907" s="2"/>
      <c r="T907" s="2"/>
      <c r="U907" s="2"/>
      <c r="V907" s="2"/>
      <c r="W907" s="2"/>
      <c r="X907" s="2"/>
      <c r="Y907" s="2"/>
      <c r="Z907" s="2"/>
    </row>
    <row r="908" ht="15.75" customHeight="1">
      <c r="A908" s="2"/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 s="2"/>
      <c r="O908" s="2"/>
      <c r="P908" s="2"/>
      <c r="Q908" s="2"/>
      <c r="R908" s="2"/>
      <c r="S908" s="2"/>
      <c r="T908" s="2"/>
      <c r="U908" s="2"/>
      <c r="V908" s="2"/>
      <c r="W908" s="2"/>
      <c r="X908" s="2"/>
      <c r="Y908" s="2"/>
      <c r="Z908" s="2"/>
    </row>
    <row r="909" ht="15.75" customHeight="1">
      <c r="A909" s="2"/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 s="2"/>
      <c r="O909" s="2"/>
      <c r="P909" s="2"/>
      <c r="Q909" s="2"/>
      <c r="R909" s="2"/>
      <c r="S909" s="2"/>
      <c r="T909" s="2"/>
      <c r="U909" s="2"/>
      <c r="V909" s="2"/>
      <c r="W909" s="2"/>
      <c r="X909" s="2"/>
      <c r="Y909" s="2"/>
      <c r="Z909" s="2"/>
    </row>
    <row r="910" ht="15.75" customHeight="1">
      <c r="A910" s="2"/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 s="2"/>
      <c r="O910" s="2"/>
      <c r="P910" s="2"/>
      <c r="Q910" s="2"/>
      <c r="R910" s="2"/>
      <c r="S910" s="2"/>
      <c r="T910" s="2"/>
      <c r="U910" s="2"/>
      <c r="V910" s="2"/>
      <c r="W910" s="2"/>
      <c r="X910" s="2"/>
      <c r="Y910" s="2"/>
      <c r="Z910" s="2"/>
    </row>
    <row r="911" ht="15.75" customHeight="1">
      <c r="A911" s="2"/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 s="2"/>
      <c r="O911" s="2"/>
      <c r="P911" s="2"/>
      <c r="Q911" s="2"/>
      <c r="R911" s="2"/>
      <c r="S911" s="2"/>
      <c r="T911" s="2"/>
      <c r="U911" s="2"/>
      <c r="V911" s="2"/>
      <c r="W911" s="2"/>
      <c r="X911" s="2"/>
      <c r="Y911" s="2"/>
      <c r="Z911" s="2"/>
    </row>
    <row r="912" ht="15.75" customHeight="1">
      <c r="A912" s="2"/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 s="2"/>
      <c r="O912" s="2"/>
      <c r="P912" s="2"/>
      <c r="Q912" s="2"/>
      <c r="R912" s="2"/>
      <c r="S912" s="2"/>
      <c r="T912" s="2"/>
      <c r="U912" s="2"/>
      <c r="V912" s="2"/>
      <c r="W912" s="2"/>
      <c r="X912" s="2"/>
      <c r="Y912" s="2"/>
      <c r="Z912" s="2"/>
    </row>
    <row r="913" ht="15.75" customHeight="1">
      <c r="A913" s="2"/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 s="2"/>
      <c r="O913" s="2"/>
      <c r="P913" s="2"/>
      <c r="Q913" s="2"/>
      <c r="R913" s="2"/>
      <c r="S913" s="2"/>
      <c r="T913" s="2"/>
      <c r="U913" s="2"/>
      <c r="V913" s="2"/>
      <c r="W913" s="2"/>
      <c r="X913" s="2"/>
      <c r="Y913" s="2"/>
      <c r="Z913" s="2"/>
    </row>
    <row r="914" ht="15.75" customHeight="1">
      <c r="A914" s="2"/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 s="2"/>
      <c r="O914" s="2"/>
      <c r="P914" s="2"/>
      <c r="Q914" s="2"/>
      <c r="R914" s="2"/>
      <c r="S914" s="2"/>
      <c r="T914" s="2"/>
      <c r="U914" s="2"/>
      <c r="V914" s="2"/>
      <c r="W914" s="2"/>
      <c r="X914" s="2"/>
      <c r="Y914" s="2"/>
      <c r="Z914" s="2"/>
    </row>
    <row r="915" ht="15.75" customHeight="1">
      <c r="A915" s="2"/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 s="2"/>
      <c r="O915" s="2"/>
      <c r="P915" s="2"/>
      <c r="Q915" s="2"/>
      <c r="R915" s="2"/>
      <c r="S915" s="2"/>
      <c r="T915" s="2"/>
      <c r="U915" s="2"/>
      <c r="V915" s="2"/>
      <c r="W915" s="2"/>
      <c r="X915" s="2"/>
      <c r="Y915" s="2"/>
      <c r="Z915" s="2"/>
    </row>
    <row r="916" ht="15.75" customHeight="1">
      <c r="A916" s="2"/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 s="2"/>
      <c r="O916" s="2"/>
      <c r="P916" s="2"/>
      <c r="Q916" s="2"/>
      <c r="R916" s="2"/>
      <c r="S916" s="2"/>
      <c r="T916" s="2"/>
      <c r="U916" s="2"/>
      <c r="V916" s="2"/>
      <c r="W916" s="2"/>
      <c r="X916" s="2"/>
      <c r="Y916" s="2"/>
      <c r="Z916" s="2"/>
    </row>
    <row r="917" ht="15.75" customHeight="1">
      <c r="A917" s="2"/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 s="2"/>
      <c r="O917" s="2"/>
      <c r="P917" s="2"/>
      <c r="Q917" s="2"/>
      <c r="R917" s="2"/>
      <c r="S917" s="2"/>
      <c r="T917" s="2"/>
      <c r="U917" s="2"/>
      <c r="V917" s="2"/>
      <c r="W917" s="2"/>
      <c r="X917" s="2"/>
      <c r="Y917" s="2"/>
      <c r="Z917" s="2"/>
    </row>
    <row r="918" ht="15.75" customHeight="1">
      <c r="A918" s="2"/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 s="2"/>
      <c r="O918" s="2"/>
      <c r="P918" s="2"/>
      <c r="Q918" s="2"/>
      <c r="R918" s="2"/>
      <c r="S918" s="2"/>
      <c r="T918" s="2"/>
      <c r="U918" s="2"/>
      <c r="V918" s="2"/>
      <c r="W918" s="2"/>
      <c r="X918" s="2"/>
      <c r="Y918" s="2"/>
      <c r="Z918" s="2"/>
    </row>
    <row r="919" ht="15.75" customHeight="1">
      <c r="A919" s="2"/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 s="2"/>
      <c r="O919" s="2"/>
      <c r="P919" s="2"/>
      <c r="Q919" s="2"/>
      <c r="R919" s="2"/>
      <c r="S919" s="2"/>
      <c r="T919" s="2"/>
      <c r="U919" s="2"/>
      <c r="V919" s="2"/>
      <c r="W919" s="2"/>
      <c r="X919" s="2"/>
      <c r="Y919" s="2"/>
      <c r="Z919" s="2"/>
    </row>
    <row r="920" ht="15.75" customHeight="1">
      <c r="A920" s="2"/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 s="2"/>
      <c r="O920" s="2"/>
      <c r="P920" s="2"/>
      <c r="Q920" s="2"/>
      <c r="R920" s="2"/>
      <c r="S920" s="2"/>
      <c r="T920" s="2"/>
      <c r="U920" s="2"/>
      <c r="V920" s="2"/>
      <c r="W920" s="2"/>
      <c r="X920" s="2"/>
      <c r="Y920" s="2"/>
      <c r="Z920" s="2"/>
    </row>
    <row r="921" ht="15.75" customHeight="1">
      <c r="A921" s="2"/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 s="2"/>
      <c r="O921" s="2"/>
      <c r="P921" s="2"/>
      <c r="Q921" s="2"/>
      <c r="R921" s="2"/>
      <c r="S921" s="2"/>
      <c r="T921" s="2"/>
      <c r="U921" s="2"/>
      <c r="V921" s="2"/>
      <c r="W921" s="2"/>
      <c r="X921" s="2"/>
      <c r="Y921" s="2"/>
      <c r="Z921" s="2"/>
    </row>
    <row r="922" ht="15.75" customHeight="1">
      <c r="A922" s="2"/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 s="2"/>
      <c r="O922" s="2"/>
      <c r="P922" s="2"/>
      <c r="Q922" s="2"/>
      <c r="R922" s="2"/>
      <c r="S922" s="2"/>
      <c r="T922" s="2"/>
      <c r="U922" s="2"/>
      <c r="V922" s="2"/>
      <c r="W922" s="2"/>
      <c r="X922" s="2"/>
      <c r="Y922" s="2"/>
      <c r="Z922" s="2"/>
    </row>
    <row r="923" ht="15.75" customHeight="1">
      <c r="A923" s="2"/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 s="2"/>
      <c r="O923" s="2"/>
      <c r="P923" s="2"/>
      <c r="Q923" s="2"/>
      <c r="R923" s="2"/>
      <c r="S923" s="2"/>
      <c r="T923" s="2"/>
      <c r="U923" s="2"/>
      <c r="V923" s="2"/>
      <c r="W923" s="2"/>
      <c r="X923" s="2"/>
      <c r="Y923" s="2"/>
      <c r="Z923" s="2"/>
    </row>
    <row r="924" ht="15.75" customHeight="1">
      <c r="A924" s="2"/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 s="2"/>
      <c r="O924" s="2"/>
      <c r="P924" s="2"/>
      <c r="Q924" s="2"/>
      <c r="R924" s="2"/>
      <c r="S924" s="2"/>
      <c r="T924" s="2"/>
      <c r="U924" s="2"/>
      <c r="V924" s="2"/>
      <c r="W924" s="2"/>
      <c r="X924" s="2"/>
      <c r="Y924" s="2"/>
      <c r="Z924" s="2"/>
    </row>
    <row r="925" ht="15.75" customHeight="1">
      <c r="A925" s="2"/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 s="2"/>
      <c r="O925" s="2"/>
      <c r="P925" s="2"/>
      <c r="Q925" s="2"/>
      <c r="R925" s="2"/>
      <c r="S925" s="2"/>
      <c r="T925" s="2"/>
      <c r="U925" s="2"/>
      <c r="V925" s="2"/>
      <c r="W925" s="2"/>
      <c r="X925" s="2"/>
      <c r="Y925" s="2"/>
      <c r="Z925" s="2"/>
    </row>
    <row r="926" ht="15.75" customHeight="1">
      <c r="A926" s="2"/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 s="2"/>
      <c r="O926" s="2"/>
      <c r="P926" s="2"/>
      <c r="Q926" s="2"/>
      <c r="R926" s="2"/>
      <c r="S926" s="2"/>
      <c r="T926" s="2"/>
      <c r="U926" s="2"/>
      <c r="V926" s="2"/>
      <c r="W926" s="2"/>
      <c r="X926" s="2"/>
      <c r="Y926" s="2"/>
      <c r="Z926" s="2"/>
    </row>
    <row r="927" ht="15.75" customHeight="1">
      <c r="A927" s="2"/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 s="2"/>
      <c r="O927" s="2"/>
      <c r="P927" s="2"/>
      <c r="Q927" s="2"/>
      <c r="R927" s="2"/>
      <c r="S927" s="2"/>
      <c r="T927" s="2"/>
      <c r="U927" s="2"/>
      <c r="V927" s="2"/>
      <c r="W927" s="2"/>
      <c r="X927" s="2"/>
      <c r="Y927" s="2"/>
      <c r="Z927" s="2"/>
    </row>
    <row r="928" ht="15.75" customHeight="1">
      <c r="A928" s="2"/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 s="2"/>
      <c r="O928" s="2"/>
      <c r="P928" s="2"/>
      <c r="Q928" s="2"/>
      <c r="R928" s="2"/>
      <c r="S928" s="2"/>
      <c r="T928" s="2"/>
      <c r="U928" s="2"/>
      <c r="V928" s="2"/>
      <c r="W928" s="2"/>
      <c r="X928" s="2"/>
      <c r="Y928" s="2"/>
      <c r="Z928" s="2"/>
    </row>
    <row r="929" ht="15.75" customHeight="1">
      <c r="A929" s="2"/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 s="2"/>
      <c r="O929" s="2"/>
      <c r="P929" s="2"/>
      <c r="Q929" s="2"/>
      <c r="R929" s="2"/>
      <c r="S929" s="2"/>
      <c r="T929" s="2"/>
      <c r="U929" s="2"/>
      <c r="V929" s="2"/>
      <c r="W929" s="2"/>
      <c r="X929" s="2"/>
      <c r="Y929" s="2"/>
      <c r="Z929" s="2"/>
    </row>
    <row r="930" ht="15.75" customHeight="1">
      <c r="A930" s="2"/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 s="2"/>
      <c r="O930" s="2"/>
      <c r="P930" s="2"/>
      <c r="Q930" s="2"/>
      <c r="R930" s="2"/>
      <c r="S930" s="2"/>
      <c r="T930" s="2"/>
      <c r="U930" s="2"/>
      <c r="V930" s="2"/>
      <c r="W930" s="2"/>
      <c r="X930" s="2"/>
      <c r="Y930" s="2"/>
      <c r="Z930" s="2"/>
    </row>
    <row r="931" ht="15.75" customHeight="1">
      <c r="A931" s="2"/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 s="2"/>
      <c r="O931" s="2"/>
      <c r="P931" s="2"/>
      <c r="Q931" s="2"/>
      <c r="R931" s="2"/>
      <c r="S931" s="2"/>
      <c r="T931" s="2"/>
      <c r="U931" s="2"/>
      <c r="V931" s="2"/>
      <c r="W931" s="2"/>
      <c r="X931" s="2"/>
      <c r="Y931" s="2"/>
      <c r="Z931" s="2"/>
    </row>
    <row r="932" ht="15.75" customHeight="1">
      <c r="A932" s="2"/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 s="2"/>
      <c r="O932" s="2"/>
      <c r="P932" s="2"/>
      <c r="Q932" s="2"/>
      <c r="R932" s="2"/>
      <c r="S932" s="2"/>
      <c r="T932" s="2"/>
      <c r="U932" s="2"/>
      <c r="V932" s="2"/>
      <c r="W932" s="2"/>
      <c r="X932" s="2"/>
      <c r="Y932" s="2"/>
      <c r="Z932" s="2"/>
    </row>
    <row r="933" ht="15.75" customHeight="1">
      <c r="A933" s="2"/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 s="2"/>
      <c r="O933" s="2"/>
      <c r="P933" s="2"/>
      <c r="Q933" s="2"/>
      <c r="R933" s="2"/>
      <c r="S933" s="2"/>
      <c r="T933" s="2"/>
      <c r="U933" s="2"/>
      <c r="V933" s="2"/>
      <c r="W933" s="2"/>
      <c r="X933" s="2"/>
      <c r="Y933" s="2"/>
      <c r="Z933" s="2"/>
    </row>
    <row r="934" ht="15.75" customHeight="1">
      <c r="A934" s="2"/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 s="2"/>
      <c r="O934" s="2"/>
      <c r="P934" s="2"/>
      <c r="Q934" s="2"/>
      <c r="R934" s="2"/>
      <c r="S934" s="2"/>
      <c r="T934" s="2"/>
      <c r="U934" s="2"/>
      <c r="V934" s="2"/>
      <c r="W934" s="2"/>
      <c r="X934" s="2"/>
      <c r="Y934" s="2"/>
      <c r="Z934" s="2"/>
    </row>
    <row r="935" ht="15.75" customHeight="1">
      <c r="A935" s="2"/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 s="2"/>
      <c r="O935" s="2"/>
      <c r="P935" s="2"/>
      <c r="Q935" s="2"/>
      <c r="R935" s="2"/>
      <c r="S935" s="2"/>
      <c r="T935" s="2"/>
      <c r="U935" s="2"/>
      <c r="V935" s="2"/>
      <c r="W935" s="2"/>
      <c r="X935" s="2"/>
      <c r="Y935" s="2"/>
      <c r="Z935" s="2"/>
    </row>
    <row r="936" ht="15.75" customHeight="1">
      <c r="A936" s="2"/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 s="2"/>
      <c r="O936" s="2"/>
      <c r="P936" s="2"/>
      <c r="Q936" s="2"/>
      <c r="R936" s="2"/>
      <c r="S936" s="2"/>
      <c r="T936" s="2"/>
      <c r="U936" s="2"/>
      <c r="V936" s="2"/>
      <c r="W936" s="2"/>
      <c r="X936" s="2"/>
      <c r="Y936" s="2"/>
      <c r="Z936" s="2"/>
    </row>
    <row r="937" ht="15.75" customHeight="1">
      <c r="A937" s="2"/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 s="2"/>
      <c r="O937" s="2"/>
      <c r="P937" s="2"/>
      <c r="Q937" s="2"/>
      <c r="R937" s="2"/>
      <c r="S937" s="2"/>
      <c r="T937" s="2"/>
      <c r="U937" s="2"/>
      <c r="V937" s="2"/>
      <c r="W937" s="2"/>
      <c r="X937" s="2"/>
      <c r="Y937" s="2"/>
      <c r="Z937" s="2"/>
    </row>
    <row r="938" ht="15.75" customHeight="1">
      <c r="A938" s="2"/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 s="2"/>
      <c r="O938" s="2"/>
      <c r="P938" s="2"/>
      <c r="Q938" s="2"/>
      <c r="R938" s="2"/>
      <c r="S938" s="2"/>
      <c r="T938" s="2"/>
      <c r="U938" s="2"/>
      <c r="V938" s="2"/>
      <c r="W938" s="2"/>
      <c r="X938" s="2"/>
      <c r="Y938" s="2"/>
      <c r="Z938" s="2"/>
    </row>
    <row r="939" ht="15.75" customHeight="1">
      <c r="A939" s="2"/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 s="2"/>
      <c r="O939" s="2"/>
      <c r="P939" s="2"/>
      <c r="Q939" s="2"/>
      <c r="R939" s="2"/>
      <c r="S939" s="2"/>
      <c r="T939" s="2"/>
      <c r="U939" s="2"/>
      <c r="V939" s="2"/>
      <c r="W939" s="2"/>
      <c r="X939" s="2"/>
      <c r="Y939" s="2"/>
      <c r="Z939" s="2"/>
    </row>
    <row r="940" ht="15.75" customHeight="1">
      <c r="A940" s="2"/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 s="2"/>
      <c r="O940" s="2"/>
      <c r="P940" s="2"/>
      <c r="Q940" s="2"/>
      <c r="R940" s="2"/>
      <c r="S940" s="2"/>
      <c r="T940" s="2"/>
      <c r="U940" s="2"/>
      <c r="V940" s="2"/>
      <c r="W940" s="2"/>
      <c r="X940" s="2"/>
      <c r="Y940" s="2"/>
      <c r="Z940" s="2"/>
    </row>
    <row r="941" ht="15.75" customHeight="1">
      <c r="A941" s="2"/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 s="2"/>
      <c r="O941" s="2"/>
      <c r="P941" s="2"/>
      <c r="Q941" s="2"/>
      <c r="R941" s="2"/>
      <c r="S941" s="2"/>
      <c r="T941" s="2"/>
      <c r="U941" s="2"/>
      <c r="V941" s="2"/>
      <c r="W941" s="2"/>
      <c r="X941" s="2"/>
      <c r="Y941" s="2"/>
      <c r="Z941" s="2"/>
    </row>
    <row r="942" ht="15.75" customHeight="1">
      <c r="A942" s="2"/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 s="2"/>
      <c r="O942" s="2"/>
      <c r="P942" s="2"/>
      <c r="Q942" s="2"/>
      <c r="R942" s="2"/>
      <c r="S942" s="2"/>
      <c r="T942" s="2"/>
      <c r="U942" s="2"/>
      <c r="V942" s="2"/>
      <c r="W942" s="2"/>
      <c r="X942" s="2"/>
      <c r="Y942" s="2"/>
      <c r="Z942" s="2"/>
    </row>
    <row r="943" ht="15.75" customHeight="1">
      <c r="A943" s="2"/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 s="2"/>
      <c r="O943" s="2"/>
      <c r="P943" s="2"/>
      <c r="Q943" s="2"/>
      <c r="R943" s="2"/>
      <c r="S943" s="2"/>
      <c r="T943" s="2"/>
      <c r="U943" s="2"/>
      <c r="V943" s="2"/>
      <c r="W943" s="2"/>
      <c r="X943" s="2"/>
      <c r="Y943" s="2"/>
      <c r="Z943" s="2"/>
    </row>
    <row r="944" ht="15.75" customHeight="1">
      <c r="A944" s="2"/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 s="2"/>
      <c r="O944" s="2"/>
      <c r="P944" s="2"/>
      <c r="Q944" s="2"/>
      <c r="R944" s="2"/>
      <c r="S944" s="2"/>
      <c r="T944" s="2"/>
      <c r="U944" s="2"/>
      <c r="V944" s="2"/>
      <c r="W944" s="2"/>
      <c r="X944" s="2"/>
      <c r="Y944" s="2"/>
      <c r="Z944" s="2"/>
    </row>
    <row r="945" ht="15.75" customHeight="1">
      <c r="A945" s="2"/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 s="2"/>
      <c r="O945" s="2"/>
      <c r="P945" s="2"/>
      <c r="Q945" s="2"/>
      <c r="R945" s="2"/>
      <c r="S945" s="2"/>
      <c r="T945" s="2"/>
      <c r="U945" s="2"/>
      <c r="V945" s="2"/>
      <c r="W945" s="2"/>
      <c r="X945" s="2"/>
      <c r="Y945" s="2"/>
      <c r="Z945" s="2"/>
    </row>
    <row r="946" ht="15.75" customHeight="1">
      <c r="A946" s="2"/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 s="2"/>
      <c r="O946" s="2"/>
      <c r="P946" s="2"/>
      <c r="Q946" s="2"/>
      <c r="R946" s="2"/>
      <c r="S946" s="2"/>
      <c r="T946" s="2"/>
      <c r="U946" s="2"/>
      <c r="V946" s="2"/>
      <c r="W946" s="2"/>
      <c r="X946" s="2"/>
      <c r="Y946" s="2"/>
      <c r="Z946" s="2"/>
    </row>
    <row r="947" ht="15.75" customHeight="1">
      <c r="A947" s="2"/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 s="2"/>
      <c r="O947" s="2"/>
      <c r="P947" s="2"/>
      <c r="Q947" s="2"/>
      <c r="R947" s="2"/>
      <c r="S947" s="2"/>
      <c r="T947" s="2"/>
      <c r="U947" s="2"/>
      <c r="V947" s="2"/>
      <c r="W947" s="2"/>
      <c r="X947" s="2"/>
      <c r="Y947" s="2"/>
      <c r="Z947" s="2"/>
    </row>
    <row r="948" ht="15.75" customHeight="1">
      <c r="A948" s="2"/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 s="2"/>
      <c r="O948" s="2"/>
      <c r="P948" s="2"/>
      <c r="Q948" s="2"/>
      <c r="R948" s="2"/>
      <c r="S948" s="2"/>
      <c r="T948" s="2"/>
      <c r="U948" s="2"/>
      <c r="V948" s="2"/>
      <c r="W948" s="2"/>
      <c r="X948" s="2"/>
      <c r="Y948" s="2"/>
      <c r="Z948" s="2"/>
    </row>
    <row r="949" ht="15.75" customHeight="1">
      <c r="A949" s="2"/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 s="2"/>
      <c r="O949" s="2"/>
      <c r="P949" s="2"/>
      <c r="Q949" s="2"/>
      <c r="R949" s="2"/>
      <c r="S949" s="2"/>
      <c r="T949" s="2"/>
      <c r="U949" s="2"/>
      <c r="V949" s="2"/>
      <c r="W949" s="2"/>
      <c r="X949" s="2"/>
      <c r="Y949" s="2"/>
      <c r="Z949" s="2"/>
    </row>
    <row r="950" ht="15.75" customHeight="1">
      <c r="A950" s="2"/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 s="2"/>
      <c r="O950" s="2"/>
      <c r="P950" s="2"/>
      <c r="Q950" s="2"/>
      <c r="R950" s="2"/>
      <c r="S950" s="2"/>
      <c r="T950" s="2"/>
      <c r="U950" s="2"/>
      <c r="V950" s="2"/>
      <c r="W950" s="2"/>
      <c r="X950" s="2"/>
      <c r="Y950" s="2"/>
      <c r="Z950" s="2"/>
    </row>
    <row r="951" ht="15.75" customHeight="1">
      <c r="A951" s="2"/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 s="2"/>
      <c r="O951" s="2"/>
      <c r="P951" s="2"/>
      <c r="Q951" s="2"/>
      <c r="R951" s="2"/>
      <c r="S951" s="2"/>
      <c r="T951" s="2"/>
      <c r="U951" s="2"/>
      <c r="V951" s="2"/>
      <c r="W951" s="2"/>
      <c r="X951" s="2"/>
      <c r="Y951" s="2"/>
      <c r="Z951" s="2"/>
    </row>
    <row r="952" ht="15.75" customHeight="1">
      <c r="A952" s="2"/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 s="2"/>
      <c r="O952" s="2"/>
      <c r="P952" s="2"/>
      <c r="Q952" s="2"/>
      <c r="R952" s="2"/>
      <c r="S952" s="2"/>
      <c r="T952" s="2"/>
      <c r="U952" s="2"/>
      <c r="V952" s="2"/>
      <c r="W952" s="2"/>
      <c r="X952" s="2"/>
      <c r="Y952" s="2"/>
      <c r="Z952" s="2"/>
    </row>
    <row r="953" ht="15.75" customHeight="1">
      <c r="A953" s="2"/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 s="2"/>
      <c r="O953" s="2"/>
      <c r="P953" s="2"/>
      <c r="Q953" s="2"/>
      <c r="R953" s="2"/>
      <c r="S953" s="2"/>
      <c r="T953" s="2"/>
      <c r="U953" s="2"/>
      <c r="V953" s="2"/>
      <c r="W953" s="2"/>
      <c r="X953" s="2"/>
      <c r="Y953" s="2"/>
      <c r="Z953" s="2"/>
    </row>
    <row r="954" ht="15.75" customHeight="1">
      <c r="A954" s="2"/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 s="2"/>
      <c r="O954" s="2"/>
      <c r="P954" s="2"/>
      <c r="Q954" s="2"/>
      <c r="R954" s="2"/>
      <c r="S954" s="2"/>
      <c r="T954" s="2"/>
      <c r="U954" s="2"/>
      <c r="V954" s="2"/>
      <c r="W954" s="2"/>
      <c r="X954" s="2"/>
      <c r="Y954" s="2"/>
      <c r="Z954" s="2"/>
    </row>
    <row r="955" ht="15.75" customHeight="1">
      <c r="A955" s="2"/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 s="2"/>
      <c r="O955" s="2"/>
      <c r="P955" s="2"/>
      <c r="Q955" s="2"/>
      <c r="R955" s="2"/>
      <c r="S955" s="2"/>
      <c r="T955" s="2"/>
      <c r="U955" s="2"/>
      <c r="V955" s="2"/>
      <c r="W955" s="2"/>
      <c r="X955" s="2"/>
      <c r="Y955" s="2"/>
      <c r="Z955" s="2"/>
    </row>
    <row r="956" ht="15.75" customHeight="1">
      <c r="A956" s="2"/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 s="2"/>
      <c r="O956" s="2"/>
      <c r="P956" s="2"/>
      <c r="Q956" s="2"/>
      <c r="R956" s="2"/>
      <c r="S956" s="2"/>
      <c r="T956" s="2"/>
      <c r="U956" s="2"/>
      <c r="V956" s="2"/>
      <c r="W956" s="2"/>
      <c r="X956" s="2"/>
      <c r="Y956" s="2"/>
      <c r="Z956" s="2"/>
    </row>
    <row r="957" ht="15.75" customHeight="1">
      <c r="A957" s="2"/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 s="2"/>
      <c r="O957" s="2"/>
      <c r="P957" s="2"/>
      <c r="Q957" s="2"/>
      <c r="R957" s="2"/>
      <c r="S957" s="2"/>
      <c r="T957" s="2"/>
      <c r="U957" s="2"/>
      <c r="V957" s="2"/>
      <c r="W957" s="2"/>
      <c r="X957" s="2"/>
      <c r="Y957" s="2"/>
      <c r="Z957" s="2"/>
    </row>
    <row r="958" ht="15.75" customHeight="1">
      <c r="A958" s="2"/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 s="2"/>
      <c r="O958" s="2"/>
      <c r="P958" s="2"/>
      <c r="Q958" s="2"/>
      <c r="R958" s="2"/>
      <c r="S958" s="2"/>
      <c r="T958" s="2"/>
      <c r="U958" s="2"/>
      <c r="V958" s="2"/>
      <c r="W958" s="2"/>
      <c r="X958" s="2"/>
      <c r="Y958" s="2"/>
      <c r="Z958" s="2"/>
    </row>
    <row r="959" ht="15.75" customHeight="1">
      <c r="A959" s="2"/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 s="2"/>
      <c r="O959" s="2"/>
      <c r="P959" s="2"/>
      <c r="Q959" s="2"/>
      <c r="R959" s="2"/>
      <c r="S959" s="2"/>
      <c r="T959" s="2"/>
      <c r="U959" s="2"/>
      <c r="V959" s="2"/>
      <c r="W959" s="2"/>
      <c r="X959" s="2"/>
      <c r="Y959" s="2"/>
      <c r="Z959" s="2"/>
    </row>
    <row r="960" ht="15.75" customHeight="1">
      <c r="A960" s="2"/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 s="2"/>
      <c r="O960" s="2"/>
      <c r="P960" s="2"/>
      <c r="Q960" s="2"/>
      <c r="R960" s="2"/>
      <c r="S960" s="2"/>
      <c r="T960" s="2"/>
      <c r="U960" s="2"/>
      <c r="V960" s="2"/>
      <c r="W960" s="2"/>
      <c r="X960" s="2"/>
      <c r="Y960" s="2"/>
      <c r="Z960" s="2"/>
    </row>
    <row r="961" ht="15.75" customHeight="1">
      <c r="A961" s="2"/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 s="2"/>
      <c r="O961" s="2"/>
      <c r="P961" s="2"/>
      <c r="Q961" s="2"/>
      <c r="R961" s="2"/>
      <c r="S961" s="2"/>
      <c r="T961" s="2"/>
      <c r="U961" s="2"/>
      <c r="V961" s="2"/>
      <c r="W961" s="2"/>
      <c r="X961" s="2"/>
      <c r="Y961" s="2"/>
      <c r="Z961" s="2"/>
    </row>
    <row r="962" ht="15.75" customHeight="1">
      <c r="A962" s="2"/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 s="2"/>
      <c r="O962" s="2"/>
      <c r="P962" s="2"/>
      <c r="Q962" s="2"/>
      <c r="R962" s="2"/>
      <c r="S962" s="2"/>
      <c r="T962" s="2"/>
      <c r="U962" s="2"/>
      <c r="V962" s="2"/>
      <c r="W962" s="2"/>
      <c r="X962" s="2"/>
      <c r="Y962" s="2"/>
      <c r="Z962" s="2"/>
    </row>
    <row r="963" ht="15.75" customHeight="1">
      <c r="A963" s="2"/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 s="2"/>
      <c r="O963" s="2"/>
      <c r="P963" s="2"/>
      <c r="Q963" s="2"/>
      <c r="R963" s="2"/>
      <c r="S963" s="2"/>
      <c r="T963" s="2"/>
      <c r="U963" s="2"/>
      <c r="V963" s="2"/>
      <c r="W963" s="2"/>
      <c r="X963" s="2"/>
      <c r="Y963" s="2"/>
      <c r="Z963" s="2"/>
    </row>
    <row r="964" ht="15.75" customHeight="1">
      <c r="A964" s="2"/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 s="2"/>
      <c r="O964" s="2"/>
      <c r="P964" s="2"/>
      <c r="Q964" s="2"/>
      <c r="R964" s="2"/>
      <c r="S964" s="2"/>
      <c r="T964" s="2"/>
      <c r="U964" s="2"/>
      <c r="V964" s="2"/>
      <c r="W964" s="2"/>
      <c r="X964" s="2"/>
      <c r="Y964" s="2"/>
      <c r="Z964" s="2"/>
    </row>
    <row r="965" ht="15.75" customHeight="1">
      <c r="A965" s="2"/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 s="2"/>
      <c r="O965" s="2"/>
      <c r="P965" s="2"/>
      <c r="Q965" s="2"/>
      <c r="R965" s="2"/>
      <c r="S965" s="2"/>
      <c r="T965" s="2"/>
      <c r="U965" s="2"/>
      <c r="V965" s="2"/>
      <c r="W965" s="2"/>
      <c r="X965" s="2"/>
      <c r="Y965" s="2"/>
      <c r="Z965" s="2"/>
    </row>
    <row r="966" ht="15.75" customHeight="1">
      <c r="A966" s="2"/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 s="2"/>
      <c r="O966" s="2"/>
      <c r="P966" s="2"/>
      <c r="Q966" s="2"/>
      <c r="R966" s="2"/>
      <c r="S966" s="2"/>
      <c r="T966" s="2"/>
      <c r="U966" s="2"/>
      <c r="V966" s="2"/>
      <c r="W966" s="2"/>
      <c r="X966" s="2"/>
      <c r="Y966" s="2"/>
      <c r="Z966" s="2"/>
    </row>
    <row r="967" ht="15.75" customHeight="1">
      <c r="A967" s="2"/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 s="2"/>
      <c r="O967" s="2"/>
      <c r="P967" s="2"/>
      <c r="Q967" s="2"/>
      <c r="R967" s="2"/>
      <c r="S967" s="2"/>
      <c r="T967" s="2"/>
      <c r="U967" s="2"/>
      <c r="V967" s="2"/>
      <c r="W967" s="2"/>
      <c r="X967" s="2"/>
      <c r="Y967" s="2"/>
      <c r="Z967" s="2"/>
    </row>
    <row r="968" ht="15.75" customHeight="1">
      <c r="A968" s="2"/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 s="2"/>
      <c r="O968" s="2"/>
      <c r="P968" s="2"/>
      <c r="Q968" s="2"/>
      <c r="R968" s="2"/>
      <c r="S968" s="2"/>
      <c r="T968" s="2"/>
      <c r="U968" s="2"/>
      <c r="V968" s="2"/>
      <c r="W968" s="2"/>
      <c r="X968" s="2"/>
      <c r="Y968" s="2"/>
      <c r="Z968" s="2"/>
    </row>
    <row r="969" ht="15.75" customHeight="1">
      <c r="A969" s="2"/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 s="2"/>
      <c r="O969" s="2"/>
      <c r="P969" s="2"/>
      <c r="Q969" s="2"/>
      <c r="R969" s="2"/>
      <c r="S969" s="2"/>
      <c r="T969" s="2"/>
      <c r="U969" s="2"/>
      <c r="V969" s="2"/>
      <c r="W969" s="2"/>
      <c r="X969" s="2"/>
      <c r="Y969" s="2"/>
      <c r="Z969" s="2"/>
    </row>
    <row r="970" ht="15.75" customHeight="1">
      <c r="A970" s="2"/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 s="2"/>
      <c r="O970" s="2"/>
      <c r="P970" s="2"/>
      <c r="Q970" s="2"/>
      <c r="R970" s="2"/>
      <c r="S970" s="2"/>
      <c r="T970" s="2"/>
      <c r="U970" s="2"/>
      <c r="V970" s="2"/>
      <c r="W970" s="2"/>
      <c r="X970" s="2"/>
      <c r="Y970" s="2"/>
      <c r="Z970" s="2"/>
    </row>
    <row r="971" ht="15.75" customHeight="1">
      <c r="A971" s="2"/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 s="2"/>
      <c r="O971" s="2"/>
      <c r="P971" s="2"/>
      <c r="Q971" s="2"/>
      <c r="R971" s="2"/>
      <c r="S971" s="2"/>
      <c r="T971" s="2"/>
      <c r="U971" s="2"/>
      <c r="V971" s="2"/>
      <c r="W971" s="2"/>
      <c r="X971" s="2"/>
      <c r="Y971" s="2"/>
      <c r="Z971" s="2"/>
    </row>
    <row r="972" ht="15.75" customHeight="1">
      <c r="A972" s="2"/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 s="2"/>
      <c r="O972" s="2"/>
      <c r="P972" s="2"/>
      <c r="Q972" s="2"/>
      <c r="R972" s="2"/>
      <c r="S972" s="2"/>
      <c r="T972" s="2"/>
      <c r="U972" s="2"/>
      <c r="V972" s="2"/>
      <c r="W972" s="2"/>
      <c r="X972" s="2"/>
      <c r="Y972" s="2"/>
      <c r="Z972" s="2"/>
    </row>
    <row r="973" ht="15.75" customHeight="1">
      <c r="A973" s="2"/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 s="2"/>
      <c r="O973" s="2"/>
      <c r="P973" s="2"/>
      <c r="Q973" s="2"/>
      <c r="R973" s="2"/>
      <c r="S973" s="2"/>
      <c r="T973" s="2"/>
      <c r="U973" s="2"/>
      <c r="V973" s="2"/>
      <c r="W973" s="2"/>
      <c r="X973" s="2"/>
      <c r="Y973" s="2"/>
      <c r="Z973" s="2"/>
    </row>
    <row r="974" ht="15.75" customHeight="1">
      <c r="A974" s="2"/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 s="2"/>
      <c r="O974" s="2"/>
      <c r="P974" s="2"/>
      <c r="Q974" s="2"/>
      <c r="R974" s="2"/>
      <c r="S974" s="2"/>
      <c r="T974" s="2"/>
      <c r="U974" s="2"/>
      <c r="V974" s="2"/>
      <c r="W974" s="2"/>
      <c r="X974" s="2"/>
      <c r="Y974" s="2"/>
      <c r="Z974" s="2"/>
    </row>
    <row r="975" ht="15.75" customHeight="1">
      <c r="A975" s="2"/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 s="2"/>
      <c r="O975" s="2"/>
      <c r="P975" s="2"/>
      <c r="Q975" s="2"/>
      <c r="R975" s="2"/>
      <c r="S975" s="2"/>
      <c r="T975" s="2"/>
      <c r="U975" s="2"/>
      <c r="V975" s="2"/>
      <c r="W975" s="2"/>
      <c r="X975" s="2"/>
      <c r="Y975" s="2"/>
      <c r="Z975" s="2"/>
    </row>
    <row r="976" ht="15.75" customHeight="1">
      <c r="A976" s="2"/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 s="2"/>
      <c r="O976" s="2"/>
      <c r="P976" s="2"/>
      <c r="Q976" s="2"/>
      <c r="R976" s="2"/>
      <c r="S976" s="2"/>
      <c r="T976" s="2"/>
      <c r="U976" s="2"/>
      <c r="V976" s="2"/>
      <c r="W976" s="2"/>
      <c r="X976" s="2"/>
      <c r="Y976" s="2"/>
      <c r="Z976" s="2"/>
    </row>
    <row r="977" ht="15.75" customHeight="1">
      <c r="A977" s="2"/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 s="2"/>
      <c r="O977" s="2"/>
      <c r="P977" s="2"/>
      <c r="Q977" s="2"/>
      <c r="R977" s="2"/>
      <c r="S977" s="2"/>
      <c r="T977" s="2"/>
      <c r="U977" s="2"/>
      <c r="V977" s="2"/>
      <c r="W977" s="2"/>
      <c r="X977" s="2"/>
      <c r="Y977" s="2"/>
      <c r="Z977" s="2"/>
    </row>
    <row r="978" ht="15.75" customHeight="1">
      <c r="A978" s="2"/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 s="2"/>
      <c r="O978" s="2"/>
      <c r="P978" s="2"/>
      <c r="Q978" s="2"/>
      <c r="R978" s="2"/>
      <c r="S978" s="2"/>
      <c r="T978" s="2"/>
      <c r="U978" s="2"/>
      <c r="V978" s="2"/>
      <c r="W978" s="2"/>
      <c r="X978" s="2"/>
      <c r="Y978" s="2"/>
      <c r="Z978" s="2"/>
    </row>
    <row r="979" ht="15.75" customHeight="1">
      <c r="A979" s="2"/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 s="2"/>
      <c r="O979" s="2"/>
      <c r="P979" s="2"/>
      <c r="Q979" s="2"/>
      <c r="R979" s="2"/>
      <c r="S979" s="2"/>
      <c r="T979" s="2"/>
      <c r="U979" s="2"/>
      <c r="V979" s="2"/>
      <c r="W979" s="2"/>
      <c r="X979" s="2"/>
      <c r="Y979" s="2"/>
      <c r="Z979" s="2"/>
    </row>
    <row r="980" ht="15.75" customHeight="1">
      <c r="A980" s="2"/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 s="2"/>
      <c r="O980" s="2"/>
      <c r="P980" s="2"/>
      <c r="Q980" s="2"/>
      <c r="R980" s="2"/>
      <c r="S980" s="2"/>
      <c r="T980" s="2"/>
      <c r="U980" s="2"/>
      <c r="V980" s="2"/>
      <c r="W980" s="2"/>
      <c r="X980" s="2"/>
      <c r="Y980" s="2"/>
      <c r="Z980" s="2"/>
    </row>
    <row r="981" ht="15.75" customHeight="1">
      <c r="A981" s="2"/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 s="2"/>
      <c r="O981" s="2"/>
      <c r="P981" s="2"/>
      <c r="Q981" s="2"/>
      <c r="R981" s="2"/>
      <c r="S981" s="2"/>
      <c r="T981" s="2"/>
      <c r="U981" s="2"/>
      <c r="V981" s="2"/>
      <c r="W981" s="2"/>
      <c r="X981" s="2"/>
      <c r="Y981" s="2"/>
      <c r="Z981" s="2"/>
    </row>
    <row r="982" ht="15.75" customHeight="1">
      <c r="A982" s="2"/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 s="2"/>
      <c r="O982" s="2"/>
      <c r="P982" s="2"/>
      <c r="Q982" s="2"/>
      <c r="R982" s="2"/>
      <c r="S982" s="2"/>
      <c r="T982" s="2"/>
      <c r="U982" s="2"/>
      <c r="V982" s="2"/>
      <c r="W982" s="2"/>
      <c r="X982" s="2"/>
      <c r="Y982" s="2"/>
      <c r="Z982" s="2"/>
    </row>
    <row r="983" ht="15.75" customHeight="1">
      <c r="A983" s="2"/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 s="2"/>
      <c r="O983" s="2"/>
      <c r="P983" s="2"/>
      <c r="Q983" s="2"/>
      <c r="R983" s="2"/>
      <c r="S983" s="2"/>
      <c r="T983" s="2"/>
      <c r="U983" s="2"/>
      <c r="V983" s="2"/>
      <c r="W983" s="2"/>
      <c r="X983" s="2"/>
      <c r="Y983" s="2"/>
      <c r="Z983" s="2"/>
    </row>
    <row r="984" ht="15.75" customHeight="1">
      <c r="A984" s="2"/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 s="2"/>
      <c r="O984" s="2"/>
      <c r="P984" s="2"/>
      <c r="Q984" s="2"/>
      <c r="R984" s="2"/>
      <c r="S984" s="2"/>
      <c r="T984" s="2"/>
      <c r="U984" s="2"/>
      <c r="V984" s="2"/>
      <c r="W984" s="2"/>
      <c r="X984" s="2"/>
      <c r="Y984" s="2"/>
      <c r="Z984" s="2"/>
    </row>
    <row r="985" ht="15.75" customHeight="1">
      <c r="A985" s="2"/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 s="2"/>
      <c r="O985" s="2"/>
      <c r="P985" s="2"/>
      <c r="Q985" s="2"/>
      <c r="R985" s="2"/>
      <c r="S985" s="2"/>
      <c r="T985" s="2"/>
      <c r="U985" s="2"/>
      <c r="V985" s="2"/>
      <c r="W985" s="2"/>
      <c r="X985" s="2"/>
      <c r="Y985" s="2"/>
      <c r="Z985" s="2"/>
    </row>
    <row r="986" ht="15.75" customHeight="1">
      <c r="A986" s="2"/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 s="2"/>
      <c r="O986" s="2"/>
      <c r="P986" s="2"/>
      <c r="Q986" s="2"/>
      <c r="R986" s="2"/>
      <c r="S986" s="2"/>
      <c r="T986" s="2"/>
      <c r="U986" s="2"/>
      <c r="V986" s="2"/>
      <c r="W986" s="2"/>
      <c r="X986" s="2"/>
      <c r="Y986" s="2"/>
      <c r="Z986" s="2"/>
    </row>
    <row r="987" ht="15.75" customHeight="1">
      <c r="A987" s="2"/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 s="2"/>
      <c r="O987" s="2"/>
      <c r="P987" s="2"/>
      <c r="Q987" s="2"/>
      <c r="R987" s="2"/>
      <c r="S987" s="2"/>
      <c r="T987" s="2"/>
      <c r="U987" s="2"/>
      <c r="V987" s="2"/>
      <c r="W987" s="2"/>
      <c r="X987" s="2"/>
      <c r="Y987" s="2"/>
      <c r="Z987" s="2"/>
    </row>
    <row r="988" ht="15.75" customHeight="1">
      <c r="A988" s="2"/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 s="2"/>
      <c r="O988" s="2"/>
      <c r="P988" s="2"/>
      <c r="Q988" s="2"/>
      <c r="R988" s="2"/>
      <c r="S988" s="2"/>
      <c r="T988" s="2"/>
      <c r="U988" s="2"/>
      <c r="V988" s="2"/>
      <c r="W988" s="2"/>
      <c r="X988" s="2"/>
      <c r="Y988" s="2"/>
      <c r="Z988" s="2"/>
    </row>
    <row r="989" ht="15.75" customHeight="1">
      <c r="A989" s="2"/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 s="2"/>
      <c r="O989" s="2"/>
      <c r="P989" s="2"/>
      <c r="Q989" s="2"/>
      <c r="R989" s="2"/>
      <c r="S989" s="2"/>
      <c r="T989" s="2"/>
      <c r="U989" s="2"/>
      <c r="V989" s="2"/>
      <c r="W989" s="2"/>
      <c r="X989" s="2"/>
      <c r="Y989" s="2"/>
      <c r="Z989" s="2"/>
    </row>
    <row r="990" ht="15.75" customHeight="1">
      <c r="A990" s="2"/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 s="2"/>
      <c r="O990" s="2"/>
      <c r="P990" s="2"/>
      <c r="Q990" s="2"/>
      <c r="R990" s="2"/>
      <c r="S990" s="2"/>
      <c r="T990" s="2"/>
      <c r="U990" s="2"/>
      <c r="V990" s="2"/>
      <c r="W990" s="2"/>
      <c r="X990" s="2"/>
      <c r="Y990" s="2"/>
      <c r="Z990" s="2"/>
    </row>
    <row r="991" ht="15.75" customHeight="1">
      <c r="A991" s="2"/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 s="2"/>
      <c r="O991" s="2"/>
      <c r="P991" s="2"/>
      <c r="Q991" s="2"/>
      <c r="R991" s="2"/>
      <c r="S991" s="2"/>
      <c r="T991" s="2"/>
      <c r="U991" s="2"/>
      <c r="V991" s="2"/>
      <c r="W991" s="2"/>
      <c r="X991" s="2"/>
      <c r="Y991" s="2"/>
      <c r="Z991" s="2"/>
    </row>
    <row r="992" ht="15.75" customHeight="1">
      <c r="A992" s="2"/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 s="2"/>
      <c r="O992" s="2"/>
      <c r="P992" s="2"/>
      <c r="Q992" s="2"/>
      <c r="R992" s="2"/>
      <c r="S992" s="2"/>
      <c r="T992" s="2"/>
      <c r="U992" s="2"/>
      <c r="V992" s="2"/>
      <c r="W992" s="2"/>
      <c r="X992" s="2"/>
      <c r="Y992" s="2"/>
      <c r="Z992" s="2"/>
    </row>
    <row r="993" ht="15.75" customHeight="1">
      <c r="A993" s="2"/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 s="2"/>
      <c r="O993" s="2"/>
      <c r="P993" s="2"/>
      <c r="Q993" s="2"/>
      <c r="R993" s="2"/>
      <c r="S993" s="2"/>
      <c r="T993" s="2"/>
      <c r="U993" s="2"/>
      <c r="V993" s="2"/>
      <c r="W993" s="2"/>
      <c r="X993" s="2"/>
      <c r="Y993" s="2"/>
      <c r="Z993" s="2"/>
    </row>
    <row r="994" ht="15.75" customHeight="1">
      <c r="A994" s="2"/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 s="2"/>
      <c r="O994" s="2"/>
      <c r="P994" s="2"/>
      <c r="Q994" s="2"/>
      <c r="R994" s="2"/>
      <c r="S994" s="2"/>
      <c r="T994" s="2"/>
      <c r="U994" s="2"/>
      <c r="V994" s="2"/>
      <c r="W994" s="2"/>
      <c r="X994" s="2"/>
      <c r="Y994" s="2"/>
      <c r="Z994" s="2"/>
    </row>
    <row r="995" ht="15.75" customHeight="1">
      <c r="A995" s="2"/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 s="2"/>
      <c r="O995" s="2"/>
      <c r="P995" s="2"/>
      <c r="Q995" s="2"/>
      <c r="R995" s="2"/>
      <c r="S995" s="2"/>
      <c r="T995" s="2"/>
      <c r="U995" s="2"/>
      <c r="V995" s="2"/>
      <c r="W995" s="2"/>
      <c r="X995" s="2"/>
      <c r="Y995" s="2"/>
      <c r="Z995" s="2"/>
    </row>
    <row r="996" ht="15.75" customHeight="1">
      <c r="A996" s="2"/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 s="2"/>
      <c r="O996" s="2"/>
      <c r="P996" s="2"/>
      <c r="Q996" s="2"/>
      <c r="R996" s="2"/>
      <c r="S996" s="2"/>
      <c r="T996" s="2"/>
      <c r="U996" s="2"/>
      <c r="V996" s="2"/>
      <c r="W996" s="2"/>
      <c r="X996" s="2"/>
      <c r="Y996" s="2"/>
      <c r="Z996" s="2"/>
    </row>
    <row r="997" ht="15.75" customHeight="1">
      <c r="A997" s="2"/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 s="2"/>
      <c r="O997" s="2"/>
      <c r="P997" s="2"/>
      <c r="Q997" s="2"/>
      <c r="R997" s="2"/>
      <c r="S997" s="2"/>
      <c r="T997" s="2"/>
      <c r="U997" s="2"/>
      <c r="V997" s="2"/>
      <c r="W997" s="2"/>
      <c r="X997" s="2"/>
      <c r="Y997" s="2"/>
      <c r="Z997" s="2"/>
    </row>
    <row r="998" ht="15.75" customHeight="1">
      <c r="A998" s="2"/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 s="2"/>
      <c r="O998" s="2"/>
      <c r="P998" s="2"/>
      <c r="Q998" s="2"/>
      <c r="R998" s="2"/>
      <c r="S998" s="2"/>
      <c r="T998" s="2"/>
      <c r="U998" s="2"/>
      <c r="V998" s="2"/>
      <c r="W998" s="2"/>
      <c r="X998" s="2"/>
      <c r="Y998" s="2"/>
      <c r="Z998" s="2"/>
    </row>
    <row r="999" ht="15.75" customHeight="1">
      <c r="A999" s="2"/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 s="2"/>
      <c r="O999" s="2"/>
      <c r="P999" s="2"/>
      <c r="Q999" s="2"/>
      <c r="R999" s="2"/>
      <c r="S999" s="2"/>
      <c r="T999" s="2"/>
      <c r="U999" s="2"/>
      <c r="V999" s="2"/>
      <c r="W999" s="2"/>
      <c r="X999" s="2"/>
      <c r="Y999" s="2"/>
      <c r="Z999" s="2"/>
    </row>
    <row r="1000" ht="15.75" customHeight="1">
      <c r="A1000" s="2"/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 s="2"/>
      <c r="O1000" s="2"/>
      <c r="P1000" s="2"/>
      <c r="Q1000" s="2"/>
      <c r="R1000" s="2"/>
      <c r="S1000" s="2"/>
      <c r="T1000" s="2"/>
      <c r="U1000" s="2"/>
      <c r="V1000" s="2"/>
      <c r="W1000" s="2"/>
      <c r="X1000" s="2"/>
      <c r="Y1000" s="2"/>
      <c r="Z1000" s="2"/>
    </row>
  </sheetData>
  <conditionalFormatting sqref="R2:R366">
    <cfRule type="expression" dxfId="0" priority="1">
      <formula>ISNUMBER(SEARCH("🚨",R2))</formula>
    </cfRule>
  </conditionalFormatting>
  <conditionalFormatting sqref="R2:R366">
    <cfRule type="expression" dxfId="1" priority="2">
      <formula>ISNUMBER(SEARCH("✅",R2))</formula>
    </cfRule>
  </conditionalFormatting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tabColor rgb="FFFFFF00"/>
    <pageSetUpPr/>
  </sheetPr>
  <sheetViews>
    <sheetView workbookViewId="0"/>
  </sheetViews>
  <sheetFormatPr customHeight="1" defaultColWidth="12.63" defaultRowHeight="15.0"/>
  <cols>
    <col customWidth="1" min="1" max="15" width="14.0"/>
    <col customWidth="1" min="16" max="20" width="8.75"/>
    <col customWidth="1" min="21" max="26" width="14.38"/>
  </cols>
  <sheetData>
    <row r="1" ht="33.75" customHeight="1">
      <c r="A1" s="13" t="s">
        <v>20</v>
      </c>
    </row>
    <row r="2">
      <c r="A2" s="14"/>
      <c r="B2" s="14"/>
      <c r="C2" s="14"/>
      <c r="D2" s="14"/>
      <c r="E2" s="14"/>
      <c r="F2" s="14"/>
      <c r="G2" s="14"/>
      <c r="H2" s="14"/>
      <c r="I2" s="14"/>
      <c r="J2" s="14"/>
      <c r="K2" s="14"/>
      <c r="L2" s="14"/>
      <c r="M2" s="14"/>
      <c r="N2" s="14"/>
      <c r="O2" s="14"/>
      <c r="Q2" s="15" t="str">
        <f t="array" ref="Q2">IFERROR(INDEX('Carga Diaria'!$A:$A,MATCH($B$3,'Carga Diaria'!$A:$A,0)-14+ROW(A1)),"")</f>
        <v/>
      </c>
      <c r="R2" s="15" t="str">
        <f t="array" ref="R2">IFERROR(INDEX('Carga Diaria'!$P:$P,MATCH(Q2,'Carga Diaria'!$A:$A,0)),"")</f>
        <v/>
      </c>
      <c r="S2" s="15" t="str">
        <f t="array" ref="S2">IFERROR(INDEX('Carga Diaria'!$L:$L,MATCH(Q2,'Carga Diaria'!$A:$A,0)),"")</f>
        <v/>
      </c>
      <c r="T2" s="15" t="str">
        <f t="array" ref="T2">IFERROR(INDEX('Carga Diaria'!$E:$E,MATCH(Q2,'Carga Diaria'!$A:$A,0)),"")</f>
        <v/>
      </c>
    </row>
    <row r="3">
      <c r="A3" s="16" t="s">
        <v>21</v>
      </c>
      <c r="B3" s="17">
        <v>46167.0</v>
      </c>
      <c r="C3" s="16"/>
      <c r="D3" s="16" t="s">
        <v>1</v>
      </c>
      <c r="E3" s="16" t="str">
        <f t="array" ref="E3">IFERROR(INDEX('Carga Diaria'!$B:$B,MATCH($B$3,'Carga Diaria'!$A:$A,0)),"")</f>
        <v>Sem 1</v>
      </c>
      <c r="F3" s="16"/>
      <c r="G3" s="16" t="s">
        <v>22</v>
      </c>
      <c r="H3" s="16" t="str">
        <f t="array" ref="H3">IFERROR(IF(INDEX('Carga Diaria'!$R:$R,MATCH($B$3,'Carga Diaria'!$A:$A,0))="","Sin datos para la fecha seleccionada",INDEX('Carga Diaria'!$R:$R,MATCH($B$3,'Carga Diaria'!$A:$A,0))),"Sin datos para la fecha seleccionada")</f>
        <v>Sin datos para la fecha seleccionada</v>
      </c>
      <c r="Q3" s="15" t="str">
        <f t="array" ref="Q3">IFERROR(INDEX('Carga Diaria'!$A:$A,MATCH($B$3,'Carga Diaria'!$A:$A,0)-14+ROW(A2)),"")</f>
        <v/>
      </c>
      <c r="R3" s="15" t="str">
        <f t="array" ref="R3">IFERROR(INDEX('Carga Diaria'!$P:$P,MATCH(Q3,'Carga Diaria'!$A:$A,0)),"")</f>
        <v/>
      </c>
      <c r="S3" s="15" t="str">
        <f t="array" ref="S3">IFERROR(INDEX('Carga Diaria'!$L:$L,MATCH(Q3,'Carga Diaria'!$A:$A,0)),"")</f>
        <v/>
      </c>
      <c r="T3" s="15" t="str">
        <f t="array" ref="T3">IFERROR(INDEX('Carga Diaria'!$E:$E,MATCH(Q3,'Carga Diaria'!$A:$A,0)),"")</f>
        <v/>
      </c>
    </row>
    <row r="4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Q4" s="15" t="str">
        <f t="array" ref="Q4">IFERROR(INDEX('Carga Diaria'!$A:$A,MATCH($B$3,'Carga Diaria'!$A:$A,0)-14+ROW(A3)),"")</f>
        <v/>
      </c>
      <c r="R4" s="15" t="str">
        <f t="array" ref="R4">IFERROR(INDEX('Carga Diaria'!$P:$P,MATCH(Q4,'Carga Diaria'!$A:$A,0)),"")</f>
        <v/>
      </c>
      <c r="S4" s="15" t="str">
        <f t="array" ref="S4">IFERROR(INDEX('Carga Diaria'!$L:$L,MATCH(Q4,'Carga Diaria'!$A:$A,0)),"")</f>
        <v/>
      </c>
      <c r="T4" s="15" t="str">
        <f t="array" ref="T4">IFERROR(INDEX('Carga Diaria'!$E:$E,MATCH(Q4,'Carga Diaria'!$A:$A,0)),"")</f>
        <v/>
      </c>
    </row>
    <row r="5">
      <c r="A5" s="18" t="s">
        <v>23</v>
      </c>
      <c r="Q5" s="15" t="str">
        <f t="array" ref="Q5">IFERROR(INDEX('Carga Diaria'!$A:$A,MATCH($B$3,'Carga Diaria'!$A:$A,0)-14+ROW(A4)),"")</f>
        <v/>
      </c>
      <c r="R5" s="15" t="str">
        <f t="array" ref="R5">IFERROR(INDEX('Carga Diaria'!$P:$P,MATCH(Q5,'Carga Diaria'!$A:$A,0)),"")</f>
        <v/>
      </c>
      <c r="S5" s="15" t="str">
        <f t="array" ref="S5">IFERROR(INDEX('Carga Diaria'!$L:$L,MATCH(Q5,'Carga Diaria'!$A:$A,0)),"")</f>
        <v/>
      </c>
      <c r="T5" s="15" t="str">
        <f t="array" ref="T5">IFERROR(INDEX('Carga Diaria'!$E:$E,MATCH(Q5,'Carga Diaria'!$A:$A,0)),"")</f>
        <v/>
      </c>
    </row>
    <row r="6">
      <c r="A6" s="19" t="s">
        <v>24</v>
      </c>
      <c r="B6" s="19" t="s">
        <v>25</v>
      </c>
      <c r="C6" s="19" t="s">
        <v>26</v>
      </c>
      <c r="D6" s="19" t="s">
        <v>27</v>
      </c>
      <c r="E6" s="19"/>
      <c r="F6" s="19" t="s">
        <v>24</v>
      </c>
      <c r="G6" s="19" t="s">
        <v>25</v>
      </c>
      <c r="H6" s="19" t="s">
        <v>26</v>
      </c>
      <c r="I6" s="19" t="s">
        <v>27</v>
      </c>
      <c r="J6" s="19"/>
      <c r="K6" s="19" t="s">
        <v>24</v>
      </c>
      <c r="L6" s="19" t="s">
        <v>25</v>
      </c>
      <c r="M6" s="19" t="s">
        <v>26</v>
      </c>
      <c r="N6" s="19" t="s">
        <v>27</v>
      </c>
      <c r="O6" s="19"/>
      <c r="Q6" s="15" t="str">
        <f t="array" ref="Q6">IFERROR(INDEX('Carga Diaria'!$A:$A,MATCH($B$3,'Carga Diaria'!$A:$A,0)-14+ROW(A5)),"")</f>
        <v/>
      </c>
      <c r="R6" s="15" t="str">
        <f t="array" ref="R6">IFERROR(INDEX('Carga Diaria'!$P:$P,MATCH(Q6,'Carga Diaria'!$A:$A,0)),"")</f>
        <v/>
      </c>
      <c r="S6" s="15" t="str">
        <f t="array" ref="S6">IFERROR(INDEX('Carga Diaria'!$L:$L,MATCH(Q6,'Carga Diaria'!$A:$A,0)),"")</f>
        <v/>
      </c>
      <c r="T6" s="15" t="str">
        <f t="array" ref="T6">IFERROR(INDEX('Carga Diaria'!$E:$E,MATCH(Q6,'Carga Diaria'!$A:$A,0)),"")</f>
        <v/>
      </c>
    </row>
    <row r="7">
      <c r="A7" s="20" t="s">
        <v>28</v>
      </c>
      <c r="B7" s="21" t="str">
        <f t="array" ref="B7">IFERROR(INDEX('Carga Diaria'!$D:$D,MATCH($B$3,'Carga Diaria'!$A:$A,0)),"")</f>
        <v/>
      </c>
      <c r="C7" s="21" t="s">
        <v>29</v>
      </c>
      <c r="D7" s="20" t="s">
        <v>30</v>
      </c>
      <c r="E7" s="20"/>
      <c r="F7" s="20" t="s">
        <v>31</v>
      </c>
      <c r="G7" s="22" t="str">
        <f t="array" ref="G7">IFERROR(INDEX('Carga Diaria'!$I:$I,MATCH($B$3,'Carga Diaria'!$A:$A,0)),"")</f>
        <v/>
      </c>
      <c r="H7" s="22">
        <f>'Config  Metas'!$B$3</f>
        <v>0.15</v>
      </c>
      <c r="I7" s="20" t="str">
        <f t="shared" ref="I7:I11" si="1">IF(G7="","Sin datos",IF(G7&gt;=H7,"✅ OK","⚠️ Bajo"))</f>
        <v>Sin datos</v>
      </c>
      <c r="J7" s="20"/>
      <c r="K7" s="20" t="s">
        <v>32</v>
      </c>
      <c r="L7" s="21" t="str">
        <f t="array" ref="L7">IFERROR(INDEX('Carga Diaria'!$N:$N,MATCH($B$3,'Carga Diaria'!$A:$A,0)),"")</f>
        <v/>
      </c>
      <c r="M7" s="21" t="str">
        <f>IF($B$7="","",$B$7*'Config  Metas'!$B$15)</f>
        <v/>
      </c>
      <c r="N7" s="20" t="str">
        <f t="shared" ref="N7:N9" si="2">IF(L7="","Sin datos",IF(L7&gt;=M7,"✅ OK","⚠️ Bajo"))</f>
        <v>Sin datos</v>
      </c>
      <c r="O7" s="14"/>
      <c r="Q7" s="15" t="str">
        <f t="array" ref="Q7">IFERROR(INDEX('Carga Diaria'!$A:$A,MATCH($B$3,'Carga Diaria'!$A:$A,0)-14+ROW(A6)),"")</f>
        <v/>
      </c>
      <c r="R7" s="15" t="str">
        <f t="array" ref="R7">IFERROR(INDEX('Carga Diaria'!$P:$P,MATCH(Q7,'Carga Diaria'!$A:$A,0)),"")</f>
        <v/>
      </c>
      <c r="S7" s="15" t="str">
        <f t="array" ref="S7">IFERROR(INDEX('Carga Diaria'!$L:$L,MATCH(Q7,'Carga Diaria'!$A:$A,0)),"")</f>
        <v/>
      </c>
      <c r="T7" s="15" t="str">
        <f t="array" ref="T7">IFERROR(INDEX('Carga Diaria'!$E:$E,MATCH(Q7,'Carga Diaria'!$A:$A,0)),"")</f>
        <v/>
      </c>
    </row>
    <row r="8">
      <c r="A8" s="20" t="s">
        <v>33</v>
      </c>
      <c r="B8" s="21" t="str">
        <f t="array" ref="B8">IFERROR(INDEX('Carga Diaria'!$E:$E,MATCH($B$3,'Carga Diaria'!$A:$A,0)),"")</f>
        <v/>
      </c>
      <c r="C8" s="21" t="str">
        <f>IF($B$7="","",$B$7*'Config  Metas'!$B$8)</f>
        <v/>
      </c>
      <c r="D8" s="20" t="str">
        <f t="shared" ref="D8:D11" si="3">IF(B8="","Sin datos",IF(B8&gt;=C8,"✅ OK","⚠️ Bajo"))</f>
        <v>Sin datos</v>
      </c>
      <c r="E8" s="20"/>
      <c r="F8" s="20" t="s">
        <v>34</v>
      </c>
      <c r="G8" s="21" t="str">
        <f t="array" ref="G8">IFERROR(INDEX('Carga Diaria'!$J:$J,MATCH($B$3,'Carga Diaria'!$A:$A,0)),"")</f>
        <v/>
      </c>
      <c r="H8" s="21" t="str">
        <f>IF($B$7="","",$B$7*'Config  Metas'!$B$13)</f>
        <v/>
      </c>
      <c r="I8" s="20" t="str">
        <f t="shared" si="1"/>
        <v>Sin datos</v>
      </c>
      <c r="J8" s="20"/>
      <c r="K8" s="20" t="s">
        <v>35</v>
      </c>
      <c r="L8" s="22" t="str">
        <f t="array" ref="L8">IFERROR(INDEX('Carga Diaria'!$O:$O,MATCH($B$3,'Carga Diaria'!$A:$A,0)),"")</f>
        <v/>
      </c>
      <c r="M8" s="22">
        <f>'Config  Metas'!$B$6</f>
        <v>0.7</v>
      </c>
      <c r="N8" s="20" t="str">
        <f t="shared" si="2"/>
        <v>Sin datos</v>
      </c>
      <c r="O8" s="14"/>
      <c r="Q8" s="15" t="str">
        <f t="array" ref="Q8">IFERROR(INDEX('Carga Diaria'!$A:$A,MATCH($B$3,'Carga Diaria'!$A:$A,0)-14+ROW(A7)),"")</f>
        <v/>
      </c>
      <c r="R8" s="15" t="str">
        <f t="array" ref="R8">IFERROR(INDEX('Carga Diaria'!$P:$P,MATCH(Q8,'Carga Diaria'!$A:$A,0)),"")</f>
        <v/>
      </c>
      <c r="S8" s="15" t="str">
        <f t="array" ref="S8">IFERROR(INDEX('Carga Diaria'!$L:$L,MATCH(Q8,'Carga Diaria'!$A:$A,0)),"")</f>
        <v/>
      </c>
      <c r="T8" s="15" t="str">
        <f t="array" ref="T8">IFERROR(INDEX('Carga Diaria'!$E:$E,MATCH(Q8,'Carga Diaria'!$A:$A,0)),"")</f>
        <v/>
      </c>
    </row>
    <row r="9">
      <c r="A9" s="20" t="s">
        <v>36</v>
      </c>
      <c r="B9" s="21" t="str">
        <f t="array" ref="B9">IFERROR(INDEX('Carga Diaria'!$F:$F,MATCH($B$3,'Carga Diaria'!$A:$A,0)),"")</f>
        <v/>
      </c>
      <c r="C9" s="21" t="str">
        <f>IF($B$7="","",$B$7*'Config  Metas'!$B$11)</f>
        <v/>
      </c>
      <c r="D9" s="20" t="str">
        <f t="shared" si="3"/>
        <v>Sin datos</v>
      </c>
      <c r="E9" s="20"/>
      <c r="F9" s="20" t="s">
        <v>37</v>
      </c>
      <c r="G9" s="22" t="str">
        <f t="array" ref="G9">IFERROR(INDEX('Carga Diaria'!$K:$K,MATCH($B$3,'Carga Diaria'!$A:$A,0)),"")</f>
        <v/>
      </c>
      <c r="H9" s="22">
        <f>'Config  Metas'!$B$4</f>
        <v>0.1</v>
      </c>
      <c r="I9" s="20" t="str">
        <f t="shared" si="1"/>
        <v>Sin datos</v>
      </c>
      <c r="J9" s="20"/>
      <c r="K9" s="20" t="s">
        <v>15</v>
      </c>
      <c r="L9" s="23" t="str">
        <f t="array" ref="L9">IFERROR(INDEX('Carga Diaria'!$P:$P,MATCH($B$3,'Carga Diaria'!$A:$A,0)),"")</f>
        <v/>
      </c>
      <c r="M9" s="23" t="str">
        <f>IF($B$7="","",$B$7*'Config  Metas'!$B$15*'Config  Metas'!$B$9)</f>
        <v/>
      </c>
      <c r="N9" s="20" t="str">
        <f t="shared" si="2"/>
        <v>Sin datos</v>
      </c>
      <c r="O9" s="14"/>
      <c r="Q9" s="15" t="str">
        <f t="array" ref="Q9">IFERROR(INDEX('Carga Diaria'!$A:$A,MATCH($B$3,'Carga Diaria'!$A:$A,0)-14+ROW(A8)),"")</f>
        <v/>
      </c>
      <c r="R9" s="15" t="str">
        <f t="array" ref="R9">IFERROR(INDEX('Carga Diaria'!$P:$P,MATCH(Q9,'Carga Diaria'!$A:$A,0)),"")</f>
        <v/>
      </c>
      <c r="S9" s="15" t="str">
        <f t="array" ref="S9">IFERROR(INDEX('Carga Diaria'!$L:$L,MATCH(Q9,'Carga Diaria'!$A:$A,0)),"")</f>
        <v/>
      </c>
      <c r="T9" s="15" t="str">
        <f t="array" ref="T9">IFERROR(INDEX('Carga Diaria'!$E:$E,MATCH(Q9,'Carga Diaria'!$A:$A,0)),"")</f>
        <v/>
      </c>
    </row>
    <row r="10">
      <c r="A10" s="20" t="s">
        <v>38</v>
      </c>
      <c r="B10" s="22" t="str">
        <f t="array" ref="B10">IFERROR(INDEX('Carga Diaria'!$G:$G,MATCH($B$3,'Carga Diaria'!$A:$A,0)),"")</f>
        <v/>
      </c>
      <c r="C10" s="22">
        <f>'Config  Metas'!$B$2</f>
        <v>0.5</v>
      </c>
      <c r="D10" s="20" t="str">
        <f t="shared" si="3"/>
        <v>Sin datos</v>
      </c>
      <c r="E10" s="20"/>
      <c r="F10" s="20" t="s">
        <v>11</v>
      </c>
      <c r="G10" s="21" t="str">
        <f t="array" ref="G10">IFERROR(INDEX('Carga Diaria'!$L:$L,MATCH($B$3,'Carga Diaria'!$A:$A,0)),"")</f>
        <v/>
      </c>
      <c r="H10" s="21" t="str">
        <f>IF($B$7="","",$B$7*'Config  Metas'!$B$14)</f>
        <v/>
      </c>
      <c r="I10" s="20" t="str">
        <f t="shared" si="1"/>
        <v>Sin datos</v>
      </c>
      <c r="J10" s="20"/>
      <c r="K10" s="20" t="s">
        <v>39</v>
      </c>
      <c r="L10" s="24" t="str">
        <f t="array" ref="L10">IFERROR(INDEX('Carga Diaria'!$Q:$Q,MATCH($B$3,'Carga Diaria'!$A:$A,0)),"")</f>
        <v/>
      </c>
      <c r="M10" s="20" t="s">
        <v>29</v>
      </c>
      <c r="N10" s="20" t="s">
        <v>30</v>
      </c>
      <c r="O10" s="14"/>
      <c r="Q10" s="15" t="str">
        <f t="array" ref="Q10">IFERROR(INDEX('Carga Diaria'!$A:$A,MATCH($B$3,'Carga Diaria'!$A:$A,0)-14+ROW(A9)),"")</f>
        <v/>
      </c>
      <c r="R10" s="15" t="str">
        <f t="array" ref="R10">IFERROR(INDEX('Carga Diaria'!$P:$P,MATCH(Q10,'Carga Diaria'!$A:$A,0)),"")</f>
        <v/>
      </c>
      <c r="S10" s="15" t="str">
        <f t="array" ref="S10">IFERROR(INDEX('Carga Diaria'!$L:$L,MATCH(Q10,'Carga Diaria'!$A:$A,0)),"")</f>
        <v/>
      </c>
      <c r="T10" s="15" t="str">
        <f t="array" ref="T10">IFERROR(INDEX('Carga Diaria'!$E:$E,MATCH(Q10,'Carga Diaria'!$A:$A,0)),"")</f>
        <v/>
      </c>
    </row>
    <row r="11">
      <c r="A11" s="20" t="s">
        <v>40</v>
      </c>
      <c r="B11" s="21" t="str">
        <f t="array" ref="B11">IFERROR(INDEX('Carga Diaria'!$H:$H,MATCH($B$3,'Carga Diaria'!$A:$A,0)),"")</f>
        <v/>
      </c>
      <c r="C11" s="21" t="str">
        <f>IF($B$7="","",$B$7*'Config  Metas'!$B$12)</f>
        <v/>
      </c>
      <c r="D11" s="20" t="str">
        <f t="shared" si="3"/>
        <v>Sin datos</v>
      </c>
      <c r="E11" s="20"/>
      <c r="F11" s="20" t="s">
        <v>41</v>
      </c>
      <c r="G11" s="22" t="str">
        <f t="array" ref="G11">IFERROR(INDEX('Carga Diaria'!$M:$M,MATCH($B$3,'Carga Diaria'!$A:$A,0)),"")</f>
        <v/>
      </c>
      <c r="H11" s="22">
        <f>'Config  Metas'!$B$5</f>
        <v>0.7</v>
      </c>
      <c r="I11" s="20" t="str">
        <f t="shared" si="1"/>
        <v>Sin datos</v>
      </c>
      <c r="J11" s="20"/>
      <c r="K11" s="20"/>
      <c r="L11" s="20"/>
      <c r="M11" s="20"/>
      <c r="N11" s="20"/>
      <c r="O11" s="14"/>
      <c r="Q11" s="15" t="str">
        <f t="array" ref="Q11">IFERROR(INDEX('Carga Diaria'!$A:$A,MATCH($B$3,'Carga Diaria'!$A:$A,0)-14+ROW(A10)),"")</f>
        <v/>
      </c>
      <c r="R11" s="15" t="str">
        <f t="array" ref="R11">IFERROR(INDEX('Carga Diaria'!$P:$P,MATCH(Q11,'Carga Diaria'!$A:$A,0)),"")</f>
        <v/>
      </c>
      <c r="S11" s="15" t="str">
        <f t="array" ref="S11">IFERROR(INDEX('Carga Diaria'!$L:$L,MATCH(Q11,'Carga Diaria'!$A:$A,0)),"")</f>
        <v/>
      </c>
      <c r="T11" s="15" t="str">
        <f t="array" ref="T11">IFERROR(INDEX('Carga Diaria'!$E:$E,MATCH(Q11,'Carga Diaria'!$A:$A,0)),"")</f>
        <v/>
      </c>
    </row>
    <row r="12">
      <c r="A12" s="14"/>
      <c r="B12" s="14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Q12" s="15" t="str">
        <f t="array" ref="Q12">IFERROR(INDEX('Carga Diaria'!$A:$A,MATCH($B$3,'Carga Diaria'!$A:$A,0)-14+ROW(A11)),"")</f>
        <v/>
      </c>
      <c r="R12" s="15" t="str">
        <f t="array" ref="R12">IFERROR(INDEX('Carga Diaria'!$P:$P,MATCH(Q12,'Carga Diaria'!$A:$A,0)),"")</f>
        <v/>
      </c>
      <c r="S12" s="15" t="str">
        <f t="array" ref="S12">IFERROR(INDEX('Carga Diaria'!$L:$L,MATCH(Q12,'Carga Diaria'!$A:$A,0)),"")</f>
        <v/>
      </c>
      <c r="T12" s="15" t="str">
        <f t="array" ref="T12">IFERROR(INDEX('Carga Diaria'!$E:$E,MATCH(Q12,'Carga Diaria'!$A:$A,0)),"")</f>
        <v/>
      </c>
    </row>
    <row r="13">
      <c r="A13" s="14"/>
      <c r="B13" s="14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Q13" s="15" t="str">
        <f t="array" ref="Q13:Q14">IFERROR(INDEX('Carga Diaria'!$A:$A,MATCH($B$3,'Carga Diaria'!$A:$A,0)-14+ROW(A12)),"")</f>
        <v>#REF!</v>
      </c>
      <c r="R13" s="15" t="str">
        <f t="array" ref="R13">IFERROR(INDEX('Carga Diaria'!$P:$P,MATCH(Q13,'Carga Diaria'!$A:$A,0)),"")</f>
        <v/>
      </c>
      <c r="S13" s="15" t="str">
        <f t="array" ref="S13">IFERROR(INDEX('Carga Diaria'!$L:$L,MATCH(Q13,'Carga Diaria'!$A:$A,0)),"")</f>
        <v/>
      </c>
      <c r="T13" s="15" t="str">
        <f t="array" ref="T13">IFERROR(INDEX('Carga Diaria'!$E:$E,MATCH(Q13,'Carga Diaria'!$A:$A,0)),"")</f>
        <v/>
      </c>
    </row>
    <row r="14">
      <c r="A14" s="25" t="s">
        <v>42</v>
      </c>
      <c r="Q14" s="15" t="str">
        <f t="array" ref="Q14">IFERROR(INDEX('Carga Diaria'!$A:$A,MATCH($B$3,'Carga Diaria'!$A:$A,0)-14+ROW(A13)),"")</f>
        <v>Fecha</v>
      </c>
      <c r="R14" s="15" t="str">
        <f t="array" ref="R14">IFERROR(INDEX('Carga Diaria'!$P:$P,MATCH(Q14,'Carga Diaria'!$A:$A,0)),"")</f>
        <v>UF Vendidas</v>
      </c>
      <c r="S14" s="15" t="str">
        <f t="array" ref="S14">IFERROR(INDEX('Carga Diaria'!$L:$L,MATCH(Q14,'Carga Diaria'!$A:$A,0)),"")</f>
        <v>Reservas</v>
      </c>
      <c r="T14" s="15" t="str">
        <f t="array" ref="T14">IFERROR(INDEX('Carga Diaria'!$E:$E,MATCH(Q14,'Carga Diaria'!$A:$A,0)),"")</f>
        <v>Llamadas Realizadas</v>
      </c>
    </row>
    <row r="15">
      <c r="A15" s="26" t="s">
        <v>43</v>
      </c>
      <c r="B15" s="26" t="s">
        <v>25</v>
      </c>
      <c r="C15" s="26" t="s">
        <v>44</v>
      </c>
      <c r="D15" s="26" t="s">
        <v>45</v>
      </c>
      <c r="E15" s="14"/>
      <c r="F15" s="26" t="s">
        <v>46</v>
      </c>
      <c r="G15" s="26" t="s">
        <v>47</v>
      </c>
      <c r="H15" s="26" t="s">
        <v>48</v>
      </c>
      <c r="I15" s="26" t="s">
        <v>27</v>
      </c>
      <c r="J15" s="26"/>
      <c r="K15" s="26" t="s">
        <v>49</v>
      </c>
      <c r="L15" s="26"/>
      <c r="M15" s="26"/>
      <c r="N15" s="26"/>
      <c r="O15" s="26"/>
      <c r="Q15" s="15">
        <f t="array" ref="Q15">IFERROR(INDEX('Carga Diaria'!$A:$A,MATCH($B$3,'Carga Diaria'!$A:$A,0)-14+ROW(A14)),"")</f>
        <v>46167</v>
      </c>
      <c r="R15" s="15" t="str">
        <f t="array" ref="R15">IFERROR(INDEX('Carga Diaria'!$P:$P,MATCH(Q15,'Carga Diaria'!$A:$A,0)),"")</f>
        <v/>
      </c>
      <c r="S15" s="15" t="str">
        <f t="array" ref="S15">IFERROR(INDEX('Carga Diaria'!$L:$L,MATCH(Q15,'Carga Diaria'!$A:$A,0)),"")</f>
        <v/>
      </c>
      <c r="T15" s="15" t="str">
        <f t="array" ref="T15">IFERROR(INDEX('Carga Diaria'!$E:$E,MATCH(Q15,'Carga Diaria'!$A:$A,0)),"")</f>
        <v/>
      </c>
    </row>
    <row r="16">
      <c r="A16" s="14" t="s">
        <v>50</v>
      </c>
      <c r="B16" s="27" t="str">
        <f t="array" ref="B16">IFERROR(INDEX('Carga Diaria'!$D:$D,MATCH($B$3,'Carga Diaria'!$A:$A,0)),"")</f>
        <v/>
      </c>
      <c r="C16" s="14" t="s">
        <v>29</v>
      </c>
      <c r="D16" s="14" t="s">
        <v>51</v>
      </c>
      <c r="E16" s="14"/>
      <c r="F16" s="14" t="s">
        <v>33</v>
      </c>
      <c r="G16" s="28">
        <f>SUMIFS('Carga Diaria'!$E:$E,'Carga Diaria'!$B:$B,$E$3,'Carga Diaria'!$A:$A,"&lt;="&amp;$B$3)</f>
        <v>0</v>
      </c>
      <c r="H16" s="28">
        <f>SUMIFS('Carga Diaria'!$D:$D,'Carga Diaria'!$B:$B,$E$3,'Carga Diaria'!$A:$A,"&lt;="&amp;$B$3)*'Config  Metas'!$B$8</f>
        <v>0</v>
      </c>
      <c r="I16" s="14" t="str">
        <f t="shared" ref="I16:I20" si="4">IF(G16&gt;=H16,"✅ Sobre ritmo","🔻 Bajo ritmo")</f>
        <v>✅ Sobre ritmo</v>
      </c>
      <c r="J16" s="14"/>
      <c r="K16" s="14" t="str">
        <f t="array" ref="K16">IFERROR(INDEX('Carga Diaria'!$S:$S,MATCH($B$3,'Carga Diaria'!$A:$A,0))&amp;CHAR(10)&amp;INDEX('Carga Diaria'!$T:$T,MATCH($B$3,'Carga Diaria'!$A:$A,0)),"")</f>
        <v>
</v>
      </c>
    </row>
    <row r="17">
      <c r="A17" s="14" t="s">
        <v>52</v>
      </c>
      <c r="B17" s="27" t="str">
        <f t="array" ref="B17">IFERROR(INDEX('Carga Diaria'!$E:$E,MATCH($B$3,'Carga Diaria'!$A:$A,0)),"")</f>
        <v/>
      </c>
      <c r="C17" s="14" t="s">
        <v>29</v>
      </c>
      <c r="D17" s="14" t="s">
        <v>53</v>
      </c>
      <c r="E17" s="14"/>
      <c r="F17" s="14" t="s">
        <v>36</v>
      </c>
      <c r="G17" s="28">
        <f>SUMIFS('Carga Diaria'!$F:$F,'Carga Diaria'!$B:$B,$E$3,'Carga Diaria'!$A:$A,"&lt;="&amp;$B$3)</f>
        <v>0</v>
      </c>
      <c r="H17" s="28">
        <f>SUMIFS('Carga Diaria'!$D:$D,'Carga Diaria'!$B:$B,$E$3,'Carga Diaria'!$A:$A,"&lt;="&amp;$B$3)*'Config  Metas'!$B$11</f>
        <v>0</v>
      </c>
      <c r="I17" s="14" t="str">
        <f t="shared" si="4"/>
        <v>✅ Sobre ritmo</v>
      </c>
      <c r="J17" s="14"/>
    </row>
    <row r="18">
      <c r="A18" s="14" t="s">
        <v>54</v>
      </c>
      <c r="B18" s="27" t="str">
        <f t="array" ref="B18">IFERROR(INDEX('Carga Diaria'!$F:$F,MATCH($B$3,'Carga Diaria'!$A:$A,0)),"")</f>
        <v/>
      </c>
      <c r="C18" s="29" t="str">
        <f t="array" ref="C18">IFERROR(INDEX('Carga Diaria'!$G:$G,MATCH($B$3,'Carga Diaria'!$A:$A,0)),"")</f>
        <v/>
      </c>
      <c r="D18" s="14" t="s">
        <v>55</v>
      </c>
      <c r="E18" s="14"/>
      <c r="F18" s="14" t="s">
        <v>11</v>
      </c>
      <c r="G18" s="28">
        <f>SUMIFS('Carga Diaria'!$L:$L,'Carga Diaria'!$B:$B,$E$3,'Carga Diaria'!$A:$A,"&lt;="&amp;$B$3)</f>
        <v>0</v>
      </c>
      <c r="H18" s="28">
        <f>SUMIFS('Carga Diaria'!$D:$D,'Carga Diaria'!$B:$B,$E$3,'Carga Diaria'!$A:$A,"&lt;="&amp;$B$3)*'Config  Metas'!$B$14</f>
        <v>0</v>
      </c>
      <c r="I18" s="14" t="str">
        <f t="shared" si="4"/>
        <v>✅ Sobre ritmo</v>
      </c>
      <c r="J18" s="14"/>
    </row>
    <row r="19">
      <c r="A19" s="14" t="s">
        <v>56</v>
      </c>
      <c r="B19" s="27" t="str">
        <f t="array" ref="B19">IFERROR(INDEX('Carga Diaria'!$H:$H,MATCH($B$3,'Carga Diaria'!$A:$A,0)),"")</f>
        <v/>
      </c>
      <c r="C19" s="29" t="str">
        <f t="array" ref="C19">IFERROR(INDEX('Carga Diaria'!$I:$I,MATCH($B$3,'Carga Diaria'!$A:$A,0)),"")</f>
        <v/>
      </c>
      <c r="D19" s="14" t="s">
        <v>57</v>
      </c>
      <c r="E19" s="14"/>
      <c r="F19" s="14" t="s">
        <v>32</v>
      </c>
      <c r="G19" s="28">
        <f>SUMIFS('Carga Diaria'!$N:$N,'Carga Diaria'!$B:$B,$E$3,'Carga Diaria'!$A:$A,"&lt;="&amp;$B$3)</f>
        <v>0</v>
      </c>
      <c r="H19" s="28">
        <f>SUMIFS('Carga Diaria'!$D:$D,'Carga Diaria'!$B:$B,$E$3,'Carga Diaria'!$A:$A,"&lt;="&amp;$B$3)*'Config  Metas'!$B$15</f>
        <v>0</v>
      </c>
      <c r="I19" s="14" t="str">
        <f t="shared" si="4"/>
        <v>✅ Sobre ritmo</v>
      </c>
      <c r="J19" s="14"/>
    </row>
    <row r="20">
      <c r="A20" s="14" t="s">
        <v>58</v>
      </c>
      <c r="B20" s="27" t="str">
        <f t="array" ref="B20">IFERROR(INDEX('Carga Diaria'!$J:$J,MATCH($B$3,'Carga Diaria'!$A:$A,0)),"")</f>
        <v/>
      </c>
      <c r="C20" s="29" t="str">
        <f t="array" ref="C20">IFERROR(INDEX('Carga Diaria'!$K:$K,MATCH($B$3,'Carga Diaria'!$A:$A,0)),"")</f>
        <v/>
      </c>
      <c r="D20" s="14" t="s">
        <v>59</v>
      </c>
      <c r="E20" s="14"/>
      <c r="F20" s="14" t="s">
        <v>15</v>
      </c>
      <c r="G20" s="27">
        <f>SUMIFS('Carga Diaria'!$P:$P,'Carga Diaria'!$B:$B,$E$3,'Carga Diaria'!$A:$A,"&lt;="&amp;$B$3)</f>
        <v>0</v>
      </c>
      <c r="H20" s="27">
        <f>SUMIFS('Carga Diaria'!$D:$D,'Carga Diaria'!$B:$B,$E$3,'Carga Diaria'!$A:$A,"&lt;="&amp;$B$3)*'Config  Metas'!$B$15*'Config  Metas'!$B$9</f>
        <v>0</v>
      </c>
      <c r="I20" s="14" t="str">
        <f t="shared" si="4"/>
        <v>✅ Sobre ritmo</v>
      </c>
      <c r="J20" s="14"/>
    </row>
    <row r="21" ht="15.75" customHeight="1">
      <c r="A21" s="14" t="s">
        <v>11</v>
      </c>
      <c r="B21" s="27" t="str">
        <f t="array" ref="B21">IFERROR(INDEX('Carga Diaria'!$L:$L,MATCH($B$3,'Carga Diaria'!$A:$A,0)),"")</f>
        <v/>
      </c>
      <c r="C21" s="29" t="str">
        <f t="array" ref="C21">IFERROR(INDEX('Carga Diaria'!$M:$M,MATCH($B$3,'Carga Diaria'!$A:$A,0)),"")</f>
        <v/>
      </c>
      <c r="D21" s="14" t="s">
        <v>60</v>
      </c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</row>
    <row r="22" ht="15.75" customHeight="1">
      <c r="A22" s="14" t="s">
        <v>61</v>
      </c>
      <c r="B22" s="27" t="str">
        <f t="array" ref="B22">IFERROR(INDEX('Carga Diaria'!$N:$N,MATCH($B$3,'Carga Diaria'!$A:$A,0)),"")</f>
        <v/>
      </c>
      <c r="C22" s="29" t="str">
        <f t="array" ref="C22">IFERROR(INDEX('Carga Diaria'!$O:$O,MATCH($B$3,'Carga Diaria'!$A:$A,0)),"")</f>
        <v/>
      </c>
      <c r="D22" s="14" t="s">
        <v>62</v>
      </c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4"/>
    </row>
    <row r="23" ht="15.75" customHeight="1">
      <c r="A23" s="14" t="s">
        <v>15</v>
      </c>
      <c r="B23" s="27" t="str">
        <f t="array" ref="B23">IFERROR(INDEX('Carga Diaria'!$P:$P,MATCH($B$3,'Carga Diaria'!$A:$A,0)),"")</f>
        <v/>
      </c>
      <c r="C23" s="14" t="s">
        <v>29</v>
      </c>
      <c r="D23" s="14" t="s">
        <v>25</v>
      </c>
      <c r="E23" s="14"/>
      <c r="F23" s="14"/>
      <c r="G23" s="14"/>
      <c r="H23" s="14"/>
      <c r="I23" s="14"/>
      <c r="J23" s="14"/>
      <c r="K23" s="14"/>
      <c r="L23" s="14"/>
      <c r="M23" s="14"/>
      <c r="N23" s="14"/>
      <c r="O23" s="14"/>
    </row>
    <row r="24" ht="15.75" customHeight="1">
      <c r="A24" s="14"/>
      <c r="B24" s="14"/>
      <c r="C24" s="14"/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/>
      <c r="O24" s="14"/>
    </row>
    <row r="25" ht="15.75" customHeight="1">
      <c r="A25" s="14"/>
      <c r="B25" s="14"/>
      <c r="C25" s="14"/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/>
      <c r="O25" s="14"/>
    </row>
    <row r="26" ht="15.75" customHeight="1">
      <c r="A26" s="14"/>
      <c r="B26" s="14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/>
      <c r="O26" s="14"/>
    </row>
    <row r="27" ht="15.75" customHeight="1">
      <c r="A27" s="14"/>
      <c r="B27" s="14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</row>
    <row r="28" ht="15.75" customHeight="1">
      <c r="A28" s="14"/>
      <c r="B28" s="14"/>
      <c r="C28" s="14"/>
      <c r="D28" s="14"/>
      <c r="E28" s="14"/>
      <c r="F28" s="14"/>
      <c r="G28" s="14"/>
      <c r="H28" s="14"/>
      <c r="I28" s="14"/>
      <c r="J28" s="14"/>
      <c r="K28" s="14"/>
      <c r="L28" s="14"/>
      <c r="M28" s="14"/>
      <c r="N28" s="14"/>
      <c r="O28" s="14"/>
    </row>
    <row r="29" ht="15.75" customHeight="1">
      <c r="A29" s="14"/>
      <c r="B29" s="14"/>
      <c r="C29" s="14"/>
      <c r="D29" s="14"/>
      <c r="E29" s="14"/>
      <c r="F29" s="14"/>
      <c r="G29" s="14"/>
      <c r="H29" s="14"/>
      <c r="I29" s="14"/>
      <c r="J29" s="14"/>
      <c r="K29" s="14"/>
      <c r="L29" s="14"/>
      <c r="M29" s="14"/>
      <c r="N29" s="14"/>
      <c r="O29" s="14"/>
    </row>
    <row r="30" ht="15.75" customHeight="1">
      <c r="A30" s="14"/>
      <c r="B30" s="14"/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</row>
    <row r="31" ht="15.75" customHeight="1">
      <c r="A31" s="14"/>
      <c r="B31" s="14"/>
      <c r="C31" s="14"/>
      <c r="D31" s="14"/>
      <c r="E31" s="14"/>
      <c r="F31" s="14"/>
      <c r="G31" s="14"/>
      <c r="H31" s="14"/>
      <c r="I31" s="14"/>
      <c r="J31" s="14"/>
      <c r="K31" s="14"/>
      <c r="L31" s="14"/>
      <c r="M31" s="14"/>
      <c r="N31" s="14"/>
      <c r="O31" s="14"/>
    </row>
    <row r="32" ht="15.75" customHeight="1">
      <c r="A32" s="14"/>
      <c r="B32" s="14"/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</row>
    <row r="33" ht="15.75" customHeight="1">
      <c r="A33" s="14"/>
      <c r="B33" s="14"/>
      <c r="C33" s="14"/>
      <c r="D33" s="14"/>
      <c r="E33" s="14"/>
      <c r="F33" s="14"/>
      <c r="G33" s="14"/>
      <c r="H33" s="14"/>
      <c r="I33" s="14"/>
      <c r="J33" s="14"/>
      <c r="K33" s="14"/>
      <c r="L33" s="14"/>
      <c r="M33" s="14"/>
      <c r="N33" s="14"/>
      <c r="O33" s="14"/>
    </row>
    <row r="34" ht="15.75" customHeight="1">
      <c r="A34" s="14"/>
      <c r="B34" s="14"/>
      <c r="C34" s="14"/>
      <c r="D34" s="14"/>
      <c r="E34" s="14"/>
      <c r="F34" s="14"/>
      <c r="G34" s="14"/>
      <c r="H34" s="14"/>
      <c r="I34" s="14"/>
      <c r="J34" s="14"/>
      <c r="K34" s="14"/>
      <c r="L34" s="14"/>
      <c r="M34" s="14"/>
      <c r="N34" s="14"/>
      <c r="O34" s="14"/>
    </row>
    <row r="35" ht="15.75" customHeight="1">
      <c r="A35" s="14"/>
      <c r="B35" s="14"/>
      <c r="C35" s="14"/>
      <c r="D35" s="14"/>
      <c r="E35" s="14"/>
      <c r="F35" s="14"/>
      <c r="G35" s="14"/>
      <c r="H35" s="14"/>
      <c r="I35" s="14"/>
      <c r="J35" s="14"/>
      <c r="K35" s="14"/>
      <c r="L35" s="14"/>
      <c r="M35" s="14"/>
      <c r="N35" s="14"/>
      <c r="O35" s="14"/>
    </row>
    <row r="36" ht="15.75" customHeight="1">
      <c r="A36" s="14"/>
      <c r="B36" s="14"/>
      <c r="C36" s="14"/>
      <c r="D36" s="14"/>
      <c r="E36" s="14"/>
      <c r="F36" s="14"/>
      <c r="G36" s="14"/>
      <c r="H36" s="14"/>
      <c r="I36" s="14"/>
      <c r="J36" s="14"/>
      <c r="K36" s="14"/>
      <c r="L36" s="14"/>
      <c r="M36" s="14"/>
      <c r="N36" s="14"/>
      <c r="O36" s="14"/>
    </row>
    <row r="37" ht="15.75" customHeight="1">
      <c r="A37" s="14"/>
      <c r="B37" s="14"/>
      <c r="C37" s="14"/>
      <c r="D37" s="14"/>
      <c r="E37" s="14"/>
      <c r="F37" s="14"/>
      <c r="G37" s="14"/>
      <c r="H37" s="14"/>
      <c r="I37" s="14"/>
      <c r="J37" s="14"/>
      <c r="K37" s="14"/>
      <c r="L37" s="14"/>
      <c r="M37" s="14"/>
      <c r="N37" s="14"/>
      <c r="O37" s="14"/>
    </row>
    <row r="38" ht="15.75" customHeight="1">
      <c r="A38" s="14"/>
      <c r="B38" s="14"/>
      <c r="C38" s="14"/>
      <c r="D38" s="14"/>
      <c r="E38" s="14"/>
      <c r="F38" s="14"/>
      <c r="G38" s="14"/>
      <c r="H38" s="14"/>
      <c r="I38" s="14"/>
      <c r="J38" s="14"/>
      <c r="K38" s="14"/>
      <c r="L38" s="14"/>
      <c r="M38" s="14"/>
      <c r="N38" s="14"/>
      <c r="O38" s="14"/>
    </row>
    <row r="39" ht="15.75" customHeight="1">
      <c r="A39" s="14"/>
      <c r="B39" s="14"/>
      <c r="C39" s="14"/>
      <c r="D39" s="14"/>
      <c r="E39" s="14"/>
      <c r="F39" s="14"/>
      <c r="G39" s="14"/>
      <c r="H39" s="14"/>
      <c r="I39" s="14"/>
      <c r="J39" s="14"/>
      <c r="K39" s="14"/>
      <c r="L39" s="14"/>
      <c r="M39" s="14"/>
      <c r="N39" s="14"/>
      <c r="O39" s="14"/>
    </row>
    <row r="40" ht="15.75" customHeight="1">
      <c r="A40" s="14"/>
      <c r="B40" s="14"/>
      <c r="C40" s="14"/>
      <c r="D40" s="14"/>
      <c r="E40" s="14"/>
      <c r="F40" s="14"/>
      <c r="G40" s="14"/>
      <c r="H40" s="14"/>
      <c r="I40" s="14"/>
      <c r="J40" s="14"/>
      <c r="K40" s="14"/>
      <c r="L40" s="14"/>
      <c r="M40" s="14"/>
      <c r="N40" s="14"/>
      <c r="O40" s="14"/>
    </row>
    <row r="41" ht="15.75" customHeight="1">
      <c r="A41" s="14"/>
      <c r="B41" s="14"/>
      <c r="C41" s="14"/>
      <c r="D41" s="14"/>
      <c r="E41" s="14"/>
      <c r="F41" s="14"/>
      <c r="G41" s="14"/>
      <c r="H41" s="14"/>
      <c r="I41" s="14"/>
      <c r="J41" s="14"/>
      <c r="K41" s="14"/>
      <c r="L41" s="14"/>
      <c r="M41" s="14"/>
      <c r="N41" s="14"/>
      <c r="O41" s="14"/>
    </row>
    <row r="42" ht="15.75" customHeight="1">
      <c r="A42" s="14"/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14"/>
      <c r="O42" s="14"/>
    </row>
    <row r="43" ht="15.75" customHeight="1">
      <c r="A43" s="14"/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14"/>
      <c r="O43" s="14"/>
    </row>
    <row r="44" ht="15.75" customHeight="1">
      <c r="A44" s="14"/>
      <c r="B44" s="14"/>
      <c r="C44" s="14"/>
      <c r="D44" s="14"/>
      <c r="E44" s="14"/>
      <c r="F44" s="14"/>
      <c r="G44" s="14"/>
      <c r="H44" s="14"/>
      <c r="I44" s="14"/>
      <c r="J44" s="14"/>
      <c r="K44" s="14"/>
      <c r="L44" s="14"/>
      <c r="M44" s="14"/>
      <c r="N44" s="14"/>
      <c r="O44" s="14"/>
    </row>
    <row r="45" ht="15.75" customHeight="1">
      <c r="A45" s="14"/>
      <c r="B45" s="14"/>
      <c r="C45" s="14"/>
      <c r="D45" s="14"/>
      <c r="E45" s="14"/>
      <c r="F45" s="14"/>
      <c r="G45" s="14"/>
      <c r="H45" s="14"/>
      <c r="I45" s="14"/>
      <c r="J45" s="14"/>
      <c r="K45" s="14"/>
      <c r="L45" s="14"/>
      <c r="M45" s="14"/>
      <c r="N45" s="14"/>
      <c r="O45" s="14"/>
    </row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5">
    <mergeCell ref="A1:T1"/>
    <mergeCell ref="H3:O3"/>
    <mergeCell ref="A5:O5"/>
    <mergeCell ref="F14:O14"/>
    <mergeCell ref="K16:O20"/>
  </mergeCells>
  <conditionalFormatting sqref="D7:D11">
    <cfRule type="expression" dxfId="0" priority="1">
      <formula>ISNUMBER(SEARCH("Bajo",D7))</formula>
    </cfRule>
  </conditionalFormatting>
  <conditionalFormatting sqref="I16:I20">
    <cfRule type="expression" dxfId="0" priority="2">
      <formula>ISNUMBER(SEARCH("Bajo",I16))</formula>
    </cfRule>
  </conditionalFormatting>
  <conditionalFormatting sqref="I16:I20">
    <cfRule type="expression" dxfId="1" priority="3">
      <formula>ISNUMBER(SEARCH("Sobre",I16))</formula>
    </cfRule>
  </conditionalFormatting>
  <dataValidations>
    <dataValidation type="list" allowBlank="1" sqref="B3">
      <formula1>'Carga Diaria'!$A$2:$A$366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tabColor rgb="FF00FF00"/>
    <pageSetUpPr/>
  </sheetPr>
  <sheetViews>
    <sheetView workbookViewId="0"/>
  </sheetViews>
  <sheetFormatPr customHeight="1" defaultColWidth="12.63" defaultRowHeight="15.0"/>
  <cols>
    <col customWidth="1" min="1" max="14" width="13.0"/>
    <col customWidth="1" min="15" max="16" width="8.75"/>
    <col customWidth="1" min="17" max="20" width="3.0"/>
    <col customWidth="1" min="21" max="22" width="8.75"/>
    <col customWidth="1" min="23" max="26" width="14.38"/>
  </cols>
  <sheetData>
    <row r="1" ht="33.75" customHeight="1">
      <c r="A1" s="30" t="s">
        <v>63</v>
      </c>
      <c r="Q1" s="31" t="s">
        <v>43</v>
      </c>
      <c r="R1" s="31"/>
      <c r="S1" s="31" t="s">
        <v>24</v>
      </c>
      <c r="T1" s="31"/>
      <c r="U1" s="15" t="s">
        <v>1</v>
      </c>
      <c r="V1" s="15" t="s">
        <v>11</v>
      </c>
    </row>
    <row r="2">
      <c r="A2" s="32"/>
      <c r="B2" s="32"/>
      <c r="C2" s="32"/>
      <c r="D2" s="32"/>
      <c r="E2" s="32"/>
      <c r="F2" s="32"/>
      <c r="G2" s="32"/>
      <c r="H2" s="32"/>
      <c r="I2" s="32"/>
      <c r="J2" s="32"/>
      <c r="K2" s="32"/>
      <c r="L2" s="32"/>
      <c r="M2" s="32"/>
      <c r="N2" s="32"/>
      <c r="Q2" s="31" t="s">
        <v>28</v>
      </c>
      <c r="R2" s="31">
        <f t="shared" ref="R2:R8" si="1">B13</f>
        <v>0</v>
      </c>
      <c r="S2" s="31" t="s">
        <v>64</v>
      </c>
      <c r="T2" s="33">
        <f>A6</f>
        <v>0</v>
      </c>
      <c r="U2" s="15" t="str">
        <f>'Seguimiento Semanal'!A2</f>
        <v>Sem 1</v>
      </c>
      <c r="V2" s="15">
        <f>'Seguimiento Semanal'!J2</f>
        <v>0</v>
      </c>
    </row>
    <row r="3">
      <c r="A3" s="34" t="s">
        <v>65</v>
      </c>
      <c r="B3" s="35" t="s">
        <v>66</v>
      </c>
      <c r="C3" s="32"/>
      <c r="D3" s="34" t="s">
        <v>67</v>
      </c>
      <c r="E3" s="36" t="str">
        <f t="array" ref="E3">IFERROR(INDEX('Seguimiento Semanal'!$AC:$AC,MATCH($B$3,'Seguimiento Semanal'!$A:$A,0)),"Sin datos")</f>
        <v>🚨 REVISAR HORARIO O SCRIPT</v>
      </c>
      <c r="Q3" s="31" t="s">
        <v>33</v>
      </c>
      <c r="R3" s="31">
        <f t="shared" si="1"/>
        <v>0</v>
      </c>
      <c r="S3" s="31" t="s">
        <v>68</v>
      </c>
      <c r="T3" s="33">
        <f>C6</f>
        <v>0</v>
      </c>
      <c r="U3" s="15" t="str">
        <f>'Seguimiento Semanal'!A3</f>
        <v>Sem 2</v>
      </c>
      <c r="V3" s="15">
        <f>'Seguimiento Semanal'!J3</f>
        <v>0</v>
      </c>
    </row>
    <row r="4">
      <c r="A4" s="32"/>
      <c r="B4" s="32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Q4" s="31" t="s">
        <v>36</v>
      </c>
      <c r="R4" s="31">
        <f t="shared" si="1"/>
        <v>0</v>
      </c>
      <c r="S4" s="31" t="s">
        <v>69</v>
      </c>
      <c r="T4" s="33">
        <f>E6</f>
        <v>0</v>
      </c>
      <c r="U4" s="15" t="str">
        <f>'Seguimiento Semanal'!A4</f>
        <v>Sem 3</v>
      </c>
      <c r="V4" s="15">
        <f>'Seguimiento Semanal'!J4</f>
        <v>0</v>
      </c>
    </row>
    <row r="5" ht="24.0" customHeight="1">
      <c r="A5" s="37" t="s">
        <v>64</v>
      </c>
      <c r="C5" s="37" t="s">
        <v>68</v>
      </c>
      <c r="E5" s="37" t="s">
        <v>70</v>
      </c>
      <c r="G5" s="37" t="s">
        <v>71</v>
      </c>
      <c r="I5" s="37" t="s">
        <v>62</v>
      </c>
      <c r="K5" s="37" t="s">
        <v>15</v>
      </c>
      <c r="M5" s="37" t="s">
        <v>39</v>
      </c>
      <c r="Q5" s="31" t="s">
        <v>40</v>
      </c>
      <c r="R5" s="31">
        <f t="shared" si="1"/>
        <v>0</v>
      </c>
      <c r="S5" s="31" t="s">
        <v>71</v>
      </c>
      <c r="T5" s="33">
        <f>G6</f>
        <v>0</v>
      </c>
      <c r="U5" s="15" t="str">
        <f>'Seguimiento Semanal'!A5</f>
        <v>Sem 4</v>
      </c>
      <c r="V5" s="15">
        <f>'Seguimiento Semanal'!J5</f>
        <v>0</v>
      </c>
    </row>
    <row r="6" ht="24.0" customHeight="1">
      <c r="A6" s="38">
        <f t="array" ref="A6">IFERROR(INDEX('Seguimiento Semanal'!$E:$E,MATCH($B$3,'Seguimiento Semanal'!$A:$A,0)),0)</f>
        <v>0</v>
      </c>
      <c r="C6" s="38">
        <f t="array" ref="C6">IFERROR(INDEX('Seguimiento Semanal'!$G:$G,MATCH($B$3,'Seguimiento Semanal'!$A:$A,0)),0)</f>
        <v>0</v>
      </c>
      <c r="E6" s="38">
        <f t="array" ref="E6">IFERROR(INDEX('Seguimiento Semanal'!$I:$I,MATCH($B$3,'Seguimiento Semanal'!$A:$A,0)),0)</f>
        <v>0</v>
      </c>
      <c r="G6" s="38">
        <f t="array" ref="G6">IFERROR(INDEX('Seguimiento Semanal'!$K:$K,MATCH($B$3,'Seguimiento Semanal'!$A:$A,0)),0)</f>
        <v>0</v>
      </c>
      <c r="I6" s="38">
        <f t="array" ref="I6">IFERROR(INDEX('Seguimiento Semanal'!$M:$M,MATCH($B$3,'Seguimiento Semanal'!$A:$A,0)),0)</f>
        <v>0</v>
      </c>
      <c r="K6" s="39">
        <f t="array" ref="K6">IFERROR(INDEX('Seguimiento Semanal'!$N:$N,MATCH($B$3,'Seguimiento Semanal'!$A:$A,0)),0)</f>
        <v>0</v>
      </c>
      <c r="M6" s="40">
        <f t="array" ref="M6">IFERROR(INDEX('Seguimiento Semanal'!$O:$O,MATCH($B$3,'Seguimiento Semanal'!$A:$A,0)),0)</f>
        <v>0</v>
      </c>
      <c r="Q6" s="31" t="s">
        <v>34</v>
      </c>
      <c r="R6" s="31">
        <f t="shared" si="1"/>
        <v>0</v>
      </c>
      <c r="S6" s="31" t="s">
        <v>62</v>
      </c>
      <c r="T6" s="33">
        <f>I6</f>
        <v>0</v>
      </c>
      <c r="U6" s="15" t="str">
        <f>'Seguimiento Semanal'!A6</f>
        <v>Sem 5</v>
      </c>
      <c r="V6" s="15">
        <f>'Seguimiento Semanal'!J6</f>
        <v>0</v>
      </c>
    </row>
    <row r="7" ht="24.0" customHeight="1">
      <c r="A7" s="41" t="str">
        <f>IF('Config  Metas'!$B$2=0,"Referencia: informativo","Meta: "&amp;TEXT('Config  Metas'!$B$2,IF('Config  Metas'!$B$2&gt;1,"#,##0","0%")))</f>
        <v>Meta: 50%</v>
      </c>
      <c r="C7" s="41" t="str">
        <f>IF('Config  Metas'!$B$3=0,"Referencia: informativo","Meta: "&amp;TEXT('Config  Metas'!$B$3,IF('Config  Metas'!$B$3&gt;1,"#,##0","0%")))</f>
        <v>Meta: 15%</v>
      </c>
      <c r="E7" s="41" t="str">
        <f>IF('Config  Metas'!$B$4=0,"Referencia: informativo","Meta: "&amp;TEXT('Config  Metas'!$B$4,IF('Config  Metas'!$B$4&gt;1,"#,##0","0%")))</f>
        <v>Meta: 10%</v>
      </c>
      <c r="G7" s="41" t="str">
        <f>IF('Config  Metas'!$B$5=0,"Referencia: informativo","Meta: "&amp;TEXT('Config  Metas'!$B$5,IF('Config  Metas'!$B$5&gt;1,"#,##0","0%")))</f>
        <v>Meta: 70%</v>
      </c>
      <c r="I7" s="41" t="str">
        <f>IF('Config  Metas'!$B$6=0,"Referencia: informativo","Meta: "&amp;TEXT('Config  Metas'!$B$6,IF('Config  Metas'!$B$6&gt;1,"#,##0","0%")))</f>
        <v>Meta: 70%</v>
      </c>
      <c r="K7" s="41" t="str">
        <f>IF('Config  Metas'!$B$7=0,"Referencia: informativo","Meta: "&amp;TEXT('Config  Metas'!$B$7,IF('Config  Metas'!$B$7&gt;1,"#,##0","0%")))</f>
        <v>Meta: 3,750</v>
      </c>
      <c r="M7" s="41" t="str">
        <f>IF(0=0,"Referencia: informativo","Meta: "&amp;TEXT(0,IF(0&gt;1,"#,##0","0%")))</f>
        <v>Referencia: informativo</v>
      </c>
      <c r="Q7" s="31" t="s">
        <v>11</v>
      </c>
      <c r="R7" s="31">
        <f t="shared" si="1"/>
        <v>0</v>
      </c>
      <c r="S7" s="31" t="s">
        <v>72</v>
      </c>
      <c r="T7" s="42">
        <f>K6</f>
        <v>0</v>
      </c>
      <c r="U7" s="15" t="str">
        <f>'Seguimiento Semanal'!A7</f>
        <v>Sem 6</v>
      </c>
      <c r="V7" s="15">
        <f>'Seguimiento Semanal'!J7</f>
        <v>0</v>
      </c>
    </row>
    <row r="8">
      <c r="A8" s="32"/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Q8" s="31" t="s">
        <v>32</v>
      </c>
      <c r="R8" s="31">
        <f t="shared" si="1"/>
        <v>0</v>
      </c>
      <c r="S8" s="31" t="s">
        <v>73</v>
      </c>
      <c r="T8" s="43">
        <f>M6</f>
        <v>0</v>
      </c>
      <c r="U8" s="15" t="str">
        <f>'Seguimiento Semanal'!A8</f>
        <v>Sem 7</v>
      </c>
      <c r="V8" s="15">
        <f>'Seguimiento Semanal'!J8</f>
        <v>0</v>
      </c>
    </row>
    <row r="9">
      <c r="A9" s="32"/>
      <c r="B9" s="32"/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Q9" s="31"/>
      <c r="R9" s="31"/>
      <c r="S9" s="31"/>
      <c r="T9" s="31"/>
      <c r="U9" s="15" t="str">
        <f>'Seguimiento Semanal'!A9</f>
        <v>Sem 8</v>
      </c>
      <c r="V9" s="15">
        <f>'Seguimiento Semanal'!J9</f>
        <v>0</v>
      </c>
    </row>
    <row r="10" ht="24.0" customHeight="1">
      <c r="A10" s="44" t="s">
        <v>74</v>
      </c>
      <c r="Q10" s="31" t="s">
        <v>1</v>
      </c>
      <c r="R10" s="31" t="s">
        <v>15</v>
      </c>
      <c r="S10" s="31"/>
      <c r="T10" s="31"/>
      <c r="U10" s="15" t="str">
        <f>'Seguimiento Semanal'!A10</f>
        <v>Sem 9</v>
      </c>
      <c r="V10" s="15">
        <f>'Seguimiento Semanal'!J10</f>
        <v>0</v>
      </c>
    </row>
    <row r="11">
      <c r="A11" s="32"/>
      <c r="B11" s="32"/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Q11" s="31" t="str">
        <f>'Seguimiento Semanal'!A2</f>
        <v>Sem 1</v>
      </c>
      <c r="R11" s="31">
        <f>'Seguimiento Semanal'!N2</f>
        <v>0</v>
      </c>
      <c r="S11" s="31"/>
      <c r="T11" s="31"/>
      <c r="U11" s="15" t="str">
        <f>'Seguimiento Semanal'!A11</f>
        <v>Sem 10</v>
      </c>
      <c r="V11" s="15">
        <f>'Seguimiento Semanal'!J11</f>
        <v>0</v>
      </c>
    </row>
    <row r="12" ht="24.0" customHeight="1">
      <c r="A12" s="45" t="s">
        <v>43</v>
      </c>
      <c r="B12" s="45" t="s">
        <v>25</v>
      </c>
      <c r="C12" s="45" t="s">
        <v>44</v>
      </c>
      <c r="D12" s="45" t="s">
        <v>75</v>
      </c>
      <c r="E12" s="32"/>
      <c r="F12" s="45" t="s">
        <v>76</v>
      </c>
      <c r="Q12" s="31" t="str">
        <f>'Seguimiento Semanal'!A3</f>
        <v>Sem 2</v>
      </c>
      <c r="R12" s="31">
        <f>'Seguimiento Semanal'!N3</f>
        <v>0</v>
      </c>
      <c r="S12" s="31"/>
      <c r="T12" s="31"/>
      <c r="U12" s="15" t="str">
        <f>'Seguimiento Semanal'!A12</f>
        <v>Sem 11</v>
      </c>
      <c r="V12" s="15">
        <f>'Seguimiento Semanal'!J12</f>
        <v>0</v>
      </c>
    </row>
    <row r="13">
      <c r="A13" s="46" t="s">
        <v>50</v>
      </c>
      <c r="B13" s="46">
        <f t="array" ref="B13">IFERROR(INDEX('Seguimiento Semanal'!$B:$B,MATCH($B$3,'Seguimiento Semanal'!$A:$A,0)),0)</f>
        <v>0</v>
      </c>
      <c r="C13" s="46" t="s">
        <v>29</v>
      </c>
      <c r="D13" s="46" t="s">
        <v>51</v>
      </c>
      <c r="E13" s="32"/>
      <c r="F13" s="47" t="str">
        <f>TEXTJOIN(CHAR(10),TRUE,IF($A$6&lt;'Config  Metas'!$B$2,"🚨 Contacto bajo: revisar horario de llamados y script de apertura.","✅ Contacto dentro de rango."),IF($C$6&lt;'Config  Metas'!$B$3,"🚨 Agendamiento bajo: reforzar propuesta de valor en los primeros 30 segundos.","✅ Agendamiento saludable."),IF($E$6&lt;'Config  Metas'!$B$4,"⚠️ Show bajo: confirmar 24 h antes y 2 h antes.","✅ Show rate controlado."),IF($G$6&lt;'Config  Metas'!$B$5,"🚨 Reserva baja: incorporar cierres de prueba durante la reunión.","✅ Reserva dentro de rango."),IF($I$6&lt;'Config  Metas'!$B$6,"🚨 Cierre bajo: trabajar objeciones y próximos pasos claros.","✅ Cierre dentro de rango."),IF($K$6&lt;'Config  Metas'!$B$7,"🔻 UF bajo piso semanal: revisar volumen y calidad de oportunidades.","✅ UF sobre meta semanal."))</f>
        <v>🚨 Contacto bajo: revisar horario de llamados y script de apertura.
🚨 Agendamiento bajo: reforzar propuesta de valor en los primeros 30 segundos.
⚠️ Show bajo: confirmar 24 h antes y 2 h antes.
🚨 Reserva baja: incorporar cierres de prueba durante la reunión.
🚨 Cierre bajo: trabajar objeciones y próximos pasos claros.
🔻 UF bajo piso semanal: revisar volumen y calidad de oportunidades.</v>
      </c>
      <c r="Q13" s="31" t="str">
        <f>'Seguimiento Semanal'!A4</f>
        <v>Sem 3</v>
      </c>
      <c r="R13" s="31">
        <f>'Seguimiento Semanal'!N4</f>
        <v>0</v>
      </c>
      <c r="S13" s="31"/>
      <c r="T13" s="31"/>
      <c r="U13" s="15" t="str">
        <f>'Seguimiento Semanal'!A13</f>
        <v>Sem 12</v>
      </c>
      <c r="V13" s="15">
        <f>'Seguimiento Semanal'!J13</f>
        <v>0</v>
      </c>
    </row>
    <row r="14">
      <c r="A14" s="46" t="s">
        <v>52</v>
      </c>
      <c r="B14" s="46">
        <f t="array" ref="B14">IFERROR(INDEX('Seguimiento Semanal'!$C:$C,MATCH($B$3,'Seguimiento Semanal'!$A:$A,0)),0)</f>
        <v>0</v>
      </c>
      <c r="C14" s="46" t="s">
        <v>29</v>
      </c>
      <c r="D14" s="46" t="s">
        <v>53</v>
      </c>
      <c r="E14" s="32"/>
      <c r="Q14" s="31" t="str">
        <f>'Seguimiento Semanal'!A5</f>
        <v>Sem 4</v>
      </c>
      <c r="R14" s="31">
        <f>'Seguimiento Semanal'!N5</f>
        <v>0</v>
      </c>
      <c r="S14" s="31"/>
      <c r="T14" s="31"/>
      <c r="U14" s="15" t="str">
        <f>'Seguimiento Semanal'!A14</f>
        <v>Sem 13</v>
      </c>
      <c r="V14" s="15">
        <f>'Seguimiento Semanal'!J14</f>
        <v>0</v>
      </c>
    </row>
    <row r="15">
      <c r="A15" s="46" t="s">
        <v>54</v>
      </c>
      <c r="B15" s="46">
        <f t="array" ref="B15">IFERROR(INDEX('Seguimiento Semanal'!$D:$D,MATCH($B$3,'Seguimiento Semanal'!$A:$A,0)),0)</f>
        <v>0</v>
      </c>
      <c r="C15" s="48">
        <f t="shared" ref="C15:C19" si="2">IFERROR(B15/B14,0)</f>
        <v>0</v>
      </c>
      <c r="D15" s="46" t="s">
        <v>77</v>
      </c>
      <c r="E15" s="32"/>
      <c r="Q15" s="31" t="str">
        <f>'Seguimiento Semanal'!A6</f>
        <v>Sem 5</v>
      </c>
      <c r="R15" s="31">
        <f>'Seguimiento Semanal'!N6</f>
        <v>0</v>
      </c>
      <c r="S15" s="31"/>
      <c r="T15" s="31"/>
      <c r="U15" s="15" t="str">
        <f>'Seguimiento Semanal'!A15</f>
        <v>Sem 14</v>
      </c>
      <c r="V15" s="15">
        <f>'Seguimiento Semanal'!J15</f>
        <v>0</v>
      </c>
    </row>
    <row r="16">
      <c r="A16" s="46" t="s">
        <v>56</v>
      </c>
      <c r="B16" s="46">
        <f t="array" ref="B16">IFERROR(INDEX('Seguimiento Semanal'!$F:$F,MATCH($B$3,'Seguimiento Semanal'!$A:$A,0)),0)</f>
        <v>0</v>
      </c>
      <c r="C16" s="48">
        <f t="shared" si="2"/>
        <v>0</v>
      </c>
      <c r="D16" s="46" t="s">
        <v>78</v>
      </c>
      <c r="E16" s="32"/>
      <c r="Q16" s="31" t="str">
        <f>'Seguimiento Semanal'!A7</f>
        <v>Sem 6</v>
      </c>
      <c r="R16" s="31">
        <f>'Seguimiento Semanal'!N7</f>
        <v>0</v>
      </c>
      <c r="S16" s="31"/>
      <c r="T16" s="31"/>
      <c r="U16" s="15" t="str">
        <f>'Seguimiento Semanal'!A16</f>
        <v>Sem 15</v>
      </c>
      <c r="V16" s="15">
        <f>'Seguimiento Semanal'!J16</f>
        <v>0</v>
      </c>
    </row>
    <row r="17">
      <c r="A17" s="46" t="s">
        <v>58</v>
      </c>
      <c r="B17" s="46">
        <f t="array" ref="B17">IFERROR(INDEX('Seguimiento Semanal'!$H:$H,MATCH($B$3,'Seguimiento Semanal'!$A:$A,0)),0)</f>
        <v>0</v>
      </c>
      <c r="C17" s="48">
        <f t="shared" si="2"/>
        <v>0</v>
      </c>
      <c r="D17" s="46" t="s">
        <v>79</v>
      </c>
      <c r="E17" s="32"/>
      <c r="Q17" s="31" t="str">
        <f>'Seguimiento Semanal'!A8</f>
        <v>Sem 7</v>
      </c>
      <c r="R17" s="31">
        <f>'Seguimiento Semanal'!N8</f>
        <v>0</v>
      </c>
      <c r="S17" s="31"/>
      <c r="T17" s="31"/>
      <c r="U17" s="15" t="str">
        <f>'Seguimiento Semanal'!A17</f>
        <v>Sem 16</v>
      </c>
      <c r="V17" s="15">
        <f>'Seguimiento Semanal'!J17</f>
        <v>0</v>
      </c>
    </row>
    <row r="18">
      <c r="A18" s="46" t="s">
        <v>11</v>
      </c>
      <c r="B18" s="46">
        <f t="array" ref="B18">IFERROR(INDEX('Seguimiento Semanal'!$J:$J,MATCH($B$3,'Seguimiento Semanal'!$A:$A,0)),0)</f>
        <v>0</v>
      </c>
      <c r="C18" s="48">
        <f t="shared" si="2"/>
        <v>0</v>
      </c>
      <c r="D18" s="46" t="s">
        <v>60</v>
      </c>
      <c r="E18" s="32"/>
      <c r="Q18" s="31" t="str">
        <f>'Seguimiento Semanal'!A9</f>
        <v>Sem 8</v>
      </c>
      <c r="R18" s="31">
        <f>'Seguimiento Semanal'!N9</f>
        <v>0</v>
      </c>
      <c r="S18" s="31"/>
      <c r="T18" s="31"/>
      <c r="U18" s="15" t="str">
        <f>'Seguimiento Semanal'!A18</f>
        <v>Sem 17</v>
      </c>
      <c r="V18" s="15">
        <f>'Seguimiento Semanal'!J18</f>
        <v>0</v>
      </c>
    </row>
    <row r="19">
      <c r="A19" s="46" t="s">
        <v>61</v>
      </c>
      <c r="B19" s="46">
        <f t="array" ref="B19">IFERROR(INDEX('Seguimiento Semanal'!$L:$L,MATCH($B$3,'Seguimiento Semanal'!$A:$A,0)),0)</f>
        <v>0</v>
      </c>
      <c r="C19" s="48">
        <f t="shared" si="2"/>
        <v>0</v>
      </c>
      <c r="D19" s="46" t="s">
        <v>80</v>
      </c>
      <c r="E19" s="32"/>
      <c r="F19" s="32"/>
      <c r="G19" s="32"/>
      <c r="H19" s="32"/>
      <c r="I19" s="32"/>
      <c r="J19" s="32"/>
      <c r="K19" s="32"/>
      <c r="L19" s="32"/>
      <c r="M19" s="32"/>
      <c r="N19" s="32"/>
      <c r="Q19" s="31" t="str">
        <f>'Seguimiento Semanal'!A10</f>
        <v>Sem 9</v>
      </c>
      <c r="R19" s="31">
        <f>'Seguimiento Semanal'!N10</f>
        <v>0</v>
      </c>
      <c r="S19" s="31"/>
      <c r="T19" s="31"/>
      <c r="U19" s="15" t="str">
        <f>'Seguimiento Semanal'!A19</f>
        <v>Sem 18</v>
      </c>
      <c r="V19" s="15">
        <f>'Seguimiento Semanal'!J19</f>
        <v>0</v>
      </c>
    </row>
    <row r="20">
      <c r="A20" s="32"/>
      <c r="B20" s="32"/>
      <c r="C20" s="32"/>
      <c r="D20" s="32"/>
      <c r="E20" s="32"/>
      <c r="F20" s="32"/>
      <c r="G20" s="32"/>
      <c r="H20" s="32"/>
      <c r="I20" s="32"/>
      <c r="J20" s="32"/>
      <c r="K20" s="32"/>
      <c r="L20" s="32"/>
      <c r="M20" s="32"/>
      <c r="N20" s="32"/>
      <c r="Q20" s="31" t="str">
        <f>'Seguimiento Semanal'!A11</f>
        <v>Sem 10</v>
      </c>
      <c r="R20" s="31">
        <f>'Seguimiento Semanal'!N11</f>
        <v>0</v>
      </c>
      <c r="S20" s="31"/>
      <c r="T20" s="31"/>
      <c r="U20" s="15" t="str">
        <f>'Seguimiento Semanal'!A20</f>
        <v>Sem 19</v>
      </c>
      <c r="V20" s="15">
        <f>'Seguimiento Semanal'!J20</f>
        <v>0</v>
      </c>
    </row>
    <row r="21" ht="24.0" customHeight="1">
      <c r="A21" s="44" t="s">
        <v>81</v>
      </c>
      <c r="Q21" s="31" t="str">
        <f>'Seguimiento Semanal'!A12</f>
        <v>Sem 11</v>
      </c>
      <c r="R21" s="31">
        <f>'Seguimiento Semanal'!N12</f>
        <v>0</v>
      </c>
      <c r="S21" s="31"/>
      <c r="T21" s="31"/>
      <c r="U21" s="15" t="str">
        <f>'Seguimiento Semanal'!A21</f>
        <v>Sem 20</v>
      </c>
      <c r="V21" s="15">
        <f>'Seguimiento Semanal'!J21</f>
        <v>0</v>
      </c>
    </row>
    <row r="22" ht="15.75" customHeight="1">
      <c r="A22" s="32"/>
      <c r="B22" s="32"/>
      <c r="C22" s="32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Q22" s="31" t="str">
        <f>'Seguimiento Semanal'!A13</f>
        <v>Sem 12</v>
      </c>
      <c r="R22" s="31">
        <f>'Seguimiento Semanal'!N13</f>
        <v>0</v>
      </c>
      <c r="S22" s="31"/>
      <c r="T22" s="31"/>
      <c r="U22" s="15" t="str">
        <f>'Seguimiento Semanal'!A22</f>
        <v>Sem 21</v>
      </c>
      <c r="V22" s="15">
        <f>'Seguimiento Semanal'!J22</f>
        <v>0</v>
      </c>
    </row>
    <row r="23" ht="24.0" customHeight="1">
      <c r="A23" s="49" t="s">
        <v>24</v>
      </c>
      <c r="B23" s="49" t="s">
        <v>82</v>
      </c>
      <c r="C23" s="49" t="s">
        <v>83</v>
      </c>
      <c r="D23" s="49" t="s">
        <v>24</v>
      </c>
      <c r="E23" s="49" t="s">
        <v>82</v>
      </c>
      <c r="F23" s="49" t="s">
        <v>83</v>
      </c>
      <c r="G23" s="49" t="s">
        <v>24</v>
      </c>
      <c r="H23" s="49" t="s">
        <v>82</v>
      </c>
      <c r="I23" s="49" t="s">
        <v>83</v>
      </c>
      <c r="J23" s="32"/>
      <c r="K23" s="32"/>
      <c r="L23" s="32"/>
      <c r="M23" s="32"/>
      <c r="N23" s="32"/>
      <c r="Q23" s="31" t="str">
        <f>'Seguimiento Semanal'!A14</f>
        <v>Sem 13</v>
      </c>
      <c r="R23" s="31">
        <f>'Seguimiento Semanal'!N14</f>
        <v>0</v>
      </c>
      <c r="S23" s="31"/>
      <c r="T23" s="31"/>
      <c r="U23" s="15" t="str">
        <f>'Seguimiento Semanal'!A23</f>
        <v>Sem 22</v>
      </c>
      <c r="V23" s="15">
        <f>'Seguimiento Semanal'!J23</f>
        <v>0</v>
      </c>
    </row>
    <row r="24" ht="15.75" customHeight="1">
      <c r="A24" s="50" t="str">
        <f>"Llamadas"</f>
        <v>Llamadas</v>
      </c>
      <c r="B24" s="51">
        <f t="array" ref="B24">IFERROR(INDEX('Tendencia y Diagnóstico'!$B:$B,MATCH($B$3,'Tendencia y Diagnóstico'!$A:$A,0)),0)</f>
        <v>0</v>
      </c>
      <c r="C24" s="50" t="str">
        <f t="array" ref="C24">IFERROR(INDEX('Tendencia y Diagnóstico'!$C:$C,MATCH($B$3,'Tendencia y Diagnóstico'!$A:$A,0)),"N/A")</f>
        <v>N/A</v>
      </c>
      <c r="D24" s="50" t="str">
        <f>"Contacto"</f>
        <v>Contacto</v>
      </c>
      <c r="E24" s="52">
        <f t="array" ref="E24">IFERROR(INDEX('Tendencia y Diagnóstico'!$D:$D,MATCH($B$3,'Tendencia y Diagnóstico'!$A:$A,0)),0)</f>
        <v>0</v>
      </c>
      <c r="F24" s="50" t="str">
        <f t="array" ref="F24">IFERROR(INDEX('Tendencia y Diagnóstico'!$E:$E,MATCH($B$3,'Tendencia y Diagnóstico'!$A:$A,0)),"N/A")</f>
        <v>N/A</v>
      </c>
      <c r="G24" s="50" t="str">
        <f>"UF/Sem"</f>
        <v>UF/Sem</v>
      </c>
      <c r="H24" s="53">
        <f t="array" ref="H24">IFERROR(INDEX('Tendencia y Diagnóstico'!$N:$N,MATCH($B$3,'Tendencia y Diagnóstico'!$A:$A,0)),0)</f>
        <v>0</v>
      </c>
      <c r="I24" s="50" t="str">
        <f t="array" ref="I24">IFERROR(INDEX('Tendencia y Diagnóstico'!$O:$O,MATCH($B$3,'Tendencia y Diagnóstico'!$A:$A,0)),"N/A")</f>
        <v>N/A</v>
      </c>
      <c r="J24" s="32"/>
      <c r="K24" s="32"/>
      <c r="L24" s="32"/>
      <c r="M24" s="32"/>
      <c r="N24" s="32"/>
      <c r="Q24" s="31" t="str">
        <f>'Seguimiento Semanal'!A15</f>
        <v>Sem 14</v>
      </c>
      <c r="R24" s="31">
        <f>'Seguimiento Semanal'!N15</f>
        <v>0</v>
      </c>
      <c r="S24" s="31"/>
      <c r="T24" s="31"/>
      <c r="U24" s="15" t="str">
        <f>'Seguimiento Semanal'!A24</f>
        <v>Sem 23</v>
      </c>
      <c r="V24" s="15">
        <f>'Seguimiento Semanal'!J24</f>
        <v>0</v>
      </c>
    </row>
    <row r="25" ht="15.75" customHeight="1">
      <c r="A25" s="50" t="str">
        <f>"Agendamiento"</f>
        <v>Agendamiento</v>
      </c>
      <c r="B25" s="52">
        <f t="array" ref="B25">IFERROR(INDEX('Tendencia y Diagnóstico'!$F:$F,MATCH($B$3,'Tendencia y Diagnóstico'!$A:$A,0)),0)</f>
        <v>0</v>
      </c>
      <c r="C25" s="50" t="str">
        <f t="array" ref="C25">IFERROR(INDEX('Tendencia y Diagnóstico'!$G:$G,MATCH($B$3,'Tendencia y Diagnóstico'!$A:$A,0)),"N/A")</f>
        <v>N/A</v>
      </c>
      <c r="D25" s="50" t="str">
        <f>"Show"</f>
        <v>Show</v>
      </c>
      <c r="E25" s="52">
        <f t="array" ref="E25">IFERROR(INDEX('Tendencia y Diagnóstico'!$H:$H,MATCH($B$3,'Tendencia y Diagnóstico'!$A:$A,0)),0)</f>
        <v>0</v>
      </c>
      <c r="F25" s="50" t="str">
        <f t="array" ref="F25">IFERROR(INDEX('Tendencia y Diagnóstico'!$I:$I,MATCH($B$3,'Tendencia y Diagnóstico'!$A:$A,0)),"N/A")</f>
        <v>N/A</v>
      </c>
      <c r="G25" s="50" t="str">
        <f>"Cierre"</f>
        <v>Cierre</v>
      </c>
      <c r="H25" s="52">
        <f t="array" ref="H25">IFERROR(INDEX('Tendencia y Diagnóstico'!$L:$L,MATCH($B$3,'Tendencia y Diagnóstico'!$A:$A,0)),0)</f>
        <v>0</v>
      </c>
      <c r="I25" s="50" t="str">
        <f t="array" ref="I25">IFERROR(INDEX('Tendencia y Diagnóstico'!$M:$M,MATCH($B$3,'Tendencia y Diagnóstico'!$A:$A,0)),"N/A")</f>
        <v>N/A</v>
      </c>
      <c r="J25" s="32"/>
      <c r="K25" s="32"/>
      <c r="L25" s="32"/>
      <c r="M25" s="32"/>
      <c r="N25" s="32"/>
      <c r="Q25" s="31" t="str">
        <f>'Seguimiento Semanal'!A16</f>
        <v>Sem 15</v>
      </c>
      <c r="R25" s="31">
        <f>'Seguimiento Semanal'!N16</f>
        <v>0</v>
      </c>
      <c r="S25" s="31"/>
      <c r="T25" s="31"/>
      <c r="U25" s="15" t="str">
        <f>'Seguimiento Semanal'!A25</f>
        <v>Sem 24</v>
      </c>
      <c r="V25" s="15">
        <f>'Seguimiento Semanal'!J25</f>
        <v>0</v>
      </c>
    </row>
    <row r="26" ht="15.75" customHeight="1">
      <c r="A26" s="32"/>
      <c r="B26" s="32"/>
      <c r="C26" s="32"/>
      <c r="D26" s="32"/>
      <c r="E26" s="32"/>
      <c r="F26" s="32"/>
      <c r="G26" s="32"/>
      <c r="H26" s="32"/>
      <c r="I26" s="32"/>
      <c r="J26" s="32"/>
      <c r="K26" s="32"/>
      <c r="L26" s="32"/>
      <c r="M26" s="32"/>
      <c r="N26" s="32"/>
      <c r="Q26" s="31" t="str">
        <f>'Seguimiento Semanal'!A17</f>
        <v>Sem 16</v>
      </c>
      <c r="R26" s="31">
        <f>'Seguimiento Semanal'!N17</f>
        <v>0</v>
      </c>
      <c r="S26" s="31"/>
      <c r="T26" s="31"/>
      <c r="U26" s="15" t="str">
        <f>'Seguimiento Semanal'!A26</f>
        <v>Sem 25</v>
      </c>
      <c r="V26" s="15">
        <f>'Seguimiento Semanal'!J26</f>
        <v>0</v>
      </c>
    </row>
    <row r="27" ht="15.75" customHeight="1">
      <c r="A27" s="32"/>
      <c r="B27" s="32"/>
      <c r="C27" s="32"/>
      <c r="D27" s="32"/>
      <c r="E27" s="32"/>
      <c r="F27" s="32"/>
      <c r="G27" s="32"/>
      <c r="H27" s="32"/>
      <c r="I27" s="32"/>
      <c r="J27" s="32"/>
      <c r="K27" s="32"/>
      <c r="L27" s="32"/>
      <c r="M27" s="32"/>
      <c r="N27" s="32"/>
      <c r="Q27" s="31" t="str">
        <f>'Seguimiento Semanal'!A18</f>
        <v>Sem 17</v>
      </c>
      <c r="R27" s="31">
        <f>'Seguimiento Semanal'!N18</f>
        <v>0</v>
      </c>
      <c r="S27" s="31"/>
      <c r="T27" s="31"/>
      <c r="U27" s="15" t="str">
        <f>'Seguimiento Semanal'!A27</f>
        <v>Sem 26</v>
      </c>
      <c r="V27" s="15">
        <f>'Seguimiento Semanal'!J27</f>
        <v>0</v>
      </c>
    </row>
    <row r="28" ht="15.75" customHeight="1">
      <c r="A28" s="32"/>
      <c r="B28" s="32"/>
      <c r="C28" s="32"/>
      <c r="D28" s="32"/>
      <c r="E28" s="32"/>
      <c r="F28" s="32"/>
      <c r="G28" s="32"/>
      <c r="H28" s="32"/>
      <c r="I28" s="32"/>
      <c r="J28" s="32"/>
      <c r="K28" s="32"/>
      <c r="L28" s="32"/>
      <c r="M28" s="32"/>
      <c r="N28" s="32"/>
      <c r="Q28" s="31" t="str">
        <f>'Seguimiento Semanal'!A19</f>
        <v>Sem 18</v>
      </c>
      <c r="R28" s="31">
        <f>'Seguimiento Semanal'!N19</f>
        <v>0</v>
      </c>
      <c r="S28" s="31"/>
      <c r="T28" s="31"/>
      <c r="U28" s="15" t="str">
        <f>'Seguimiento Semanal'!A28</f>
        <v>Sem 27</v>
      </c>
      <c r="V28" s="15">
        <f>'Seguimiento Semanal'!J28</f>
        <v>0</v>
      </c>
    </row>
    <row r="29" ht="15.75" customHeight="1">
      <c r="A29" s="32"/>
      <c r="B29" s="32"/>
      <c r="C29" s="32"/>
      <c r="D29" s="32"/>
      <c r="E29" s="32"/>
      <c r="F29" s="32"/>
      <c r="G29" s="32"/>
      <c r="H29" s="32"/>
      <c r="I29" s="32"/>
      <c r="J29" s="32"/>
      <c r="K29" s="32"/>
      <c r="L29" s="32"/>
      <c r="M29" s="32"/>
      <c r="N29" s="32"/>
      <c r="Q29" s="31" t="str">
        <f>'Seguimiento Semanal'!A20</f>
        <v>Sem 19</v>
      </c>
      <c r="R29" s="31">
        <f>'Seguimiento Semanal'!N20</f>
        <v>0</v>
      </c>
      <c r="S29" s="31"/>
      <c r="T29" s="31"/>
      <c r="U29" s="15" t="str">
        <f>'Seguimiento Semanal'!A29</f>
        <v>Sem 28</v>
      </c>
      <c r="V29" s="15">
        <f>'Seguimiento Semanal'!J29</f>
        <v>0</v>
      </c>
    </row>
    <row r="30" ht="15.75" customHeight="1">
      <c r="A30" s="32"/>
      <c r="B30" s="32"/>
      <c r="C30" s="32"/>
      <c r="D30" s="32"/>
      <c r="E30" s="32"/>
      <c r="F30" s="32"/>
      <c r="G30" s="32"/>
      <c r="H30" s="32"/>
      <c r="I30" s="32"/>
      <c r="J30" s="32"/>
      <c r="K30" s="32"/>
      <c r="L30" s="32"/>
      <c r="M30" s="32"/>
      <c r="N30" s="32"/>
      <c r="Q30" s="31" t="str">
        <f>'Seguimiento Semanal'!A21</f>
        <v>Sem 20</v>
      </c>
      <c r="R30" s="31">
        <f>'Seguimiento Semanal'!N21</f>
        <v>0</v>
      </c>
      <c r="S30" s="31"/>
      <c r="T30" s="31"/>
      <c r="U30" s="15" t="str">
        <f>'Seguimiento Semanal'!A30</f>
        <v>Sem 29</v>
      </c>
      <c r="V30" s="15">
        <f>'Seguimiento Semanal'!J30</f>
        <v>0</v>
      </c>
    </row>
    <row r="31" ht="15.75" customHeight="1">
      <c r="A31" s="32"/>
      <c r="B31" s="32"/>
      <c r="C31" s="32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Q31" s="31" t="str">
        <f>'Seguimiento Semanal'!A22</f>
        <v>Sem 21</v>
      </c>
      <c r="R31" s="31">
        <f>'Seguimiento Semanal'!N22</f>
        <v>0</v>
      </c>
      <c r="S31" s="31"/>
      <c r="T31" s="31"/>
      <c r="U31" s="15" t="str">
        <f>'Seguimiento Semanal'!A31</f>
        <v>Sem 30</v>
      </c>
      <c r="V31" s="15">
        <f>'Seguimiento Semanal'!J31</f>
        <v>0</v>
      </c>
    </row>
    <row r="32" ht="15.75" customHeight="1">
      <c r="A32" s="32"/>
      <c r="B32" s="32"/>
      <c r="C32" s="32"/>
      <c r="D32" s="32"/>
      <c r="E32" s="32"/>
      <c r="F32" s="32"/>
      <c r="G32" s="32"/>
      <c r="H32" s="32"/>
      <c r="I32" s="32"/>
      <c r="J32" s="32"/>
      <c r="K32" s="32"/>
      <c r="L32" s="32"/>
      <c r="M32" s="32"/>
      <c r="N32" s="32"/>
      <c r="Q32" s="31" t="str">
        <f>'Seguimiento Semanal'!A23</f>
        <v>Sem 22</v>
      </c>
      <c r="R32" s="31">
        <f>'Seguimiento Semanal'!N23</f>
        <v>0</v>
      </c>
      <c r="S32" s="31"/>
      <c r="T32" s="31"/>
      <c r="U32" s="15" t="str">
        <f>'Seguimiento Semanal'!A32</f>
        <v>Sem 31</v>
      </c>
      <c r="V32" s="15">
        <f>'Seguimiento Semanal'!J32</f>
        <v>0</v>
      </c>
    </row>
    <row r="33" ht="15.75" customHeight="1">
      <c r="A33" s="32"/>
      <c r="B33" s="32"/>
      <c r="C33" s="32"/>
      <c r="D33" s="32"/>
      <c r="E33" s="32"/>
      <c r="F33" s="32"/>
      <c r="G33" s="32"/>
      <c r="H33" s="32"/>
      <c r="I33" s="32"/>
      <c r="J33" s="32"/>
      <c r="K33" s="32"/>
      <c r="L33" s="32"/>
      <c r="M33" s="32"/>
      <c r="N33" s="32"/>
      <c r="Q33" s="31" t="str">
        <f>'Seguimiento Semanal'!A24</f>
        <v>Sem 23</v>
      </c>
      <c r="R33" s="31">
        <f>'Seguimiento Semanal'!N24</f>
        <v>0</v>
      </c>
      <c r="S33" s="31"/>
      <c r="T33" s="31"/>
      <c r="U33" s="15" t="str">
        <f>'Seguimiento Semanal'!A33</f>
        <v>Sem 32</v>
      </c>
      <c r="V33" s="15">
        <f>'Seguimiento Semanal'!J33</f>
        <v>0</v>
      </c>
    </row>
    <row r="34" ht="15.75" customHeight="1">
      <c r="A34" s="32"/>
      <c r="B34" s="32"/>
      <c r="C34" s="32"/>
      <c r="D34" s="32"/>
      <c r="E34" s="32"/>
      <c r="F34" s="32"/>
      <c r="G34" s="32"/>
      <c r="H34" s="32"/>
      <c r="I34" s="32"/>
      <c r="J34" s="32"/>
      <c r="K34" s="32"/>
      <c r="L34" s="32"/>
      <c r="M34" s="32"/>
      <c r="N34" s="32"/>
      <c r="Q34" s="31" t="str">
        <f>'Seguimiento Semanal'!A25</f>
        <v>Sem 24</v>
      </c>
      <c r="R34" s="31">
        <f>'Seguimiento Semanal'!N25</f>
        <v>0</v>
      </c>
      <c r="S34" s="31"/>
      <c r="T34" s="31"/>
      <c r="U34" s="15" t="str">
        <f>'Seguimiento Semanal'!A34</f>
        <v>Sem 33</v>
      </c>
      <c r="V34" s="15">
        <f>'Seguimiento Semanal'!J34</f>
        <v>0</v>
      </c>
    </row>
    <row r="35" ht="15.75" customHeight="1">
      <c r="A35" s="32"/>
      <c r="B35" s="32"/>
      <c r="C35" s="32"/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  <c r="Q35" s="31" t="str">
        <f>'Seguimiento Semanal'!A26</f>
        <v>Sem 25</v>
      </c>
      <c r="R35" s="31">
        <f>'Seguimiento Semanal'!N26</f>
        <v>0</v>
      </c>
      <c r="S35" s="31"/>
      <c r="T35" s="31"/>
      <c r="U35" s="15" t="str">
        <f>'Seguimiento Semanal'!A35</f>
        <v>Sem 34</v>
      </c>
      <c r="V35" s="15">
        <f>'Seguimiento Semanal'!J35</f>
        <v>0</v>
      </c>
    </row>
    <row r="36" ht="15.75" customHeight="1">
      <c r="A36" s="32"/>
      <c r="B36" s="32"/>
      <c r="C36" s="32"/>
      <c r="D36" s="32"/>
      <c r="E36" s="32"/>
      <c r="F36" s="32"/>
      <c r="G36" s="32"/>
      <c r="H36" s="32"/>
      <c r="I36" s="32"/>
      <c r="J36" s="32"/>
      <c r="K36" s="32"/>
      <c r="L36" s="32"/>
      <c r="M36" s="32"/>
      <c r="N36" s="32"/>
      <c r="Q36" s="31" t="str">
        <f>'Seguimiento Semanal'!A27</f>
        <v>Sem 26</v>
      </c>
      <c r="R36" s="31">
        <f>'Seguimiento Semanal'!N27</f>
        <v>0</v>
      </c>
      <c r="S36" s="31"/>
      <c r="T36" s="31"/>
      <c r="U36" s="15" t="str">
        <f>'Seguimiento Semanal'!A36</f>
        <v>Sem 35</v>
      </c>
      <c r="V36" s="15">
        <f>'Seguimiento Semanal'!J36</f>
        <v>0</v>
      </c>
    </row>
    <row r="37" ht="15.75" customHeight="1">
      <c r="A37" s="32"/>
      <c r="B37" s="32"/>
      <c r="C37" s="32"/>
      <c r="D37" s="32"/>
      <c r="E37" s="32"/>
      <c r="F37" s="32"/>
      <c r="G37" s="32"/>
      <c r="H37" s="32"/>
      <c r="I37" s="32"/>
      <c r="J37" s="32"/>
      <c r="K37" s="32"/>
      <c r="L37" s="32"/>
      <c r="M37" s="32"/>
      <c r="N37" s="32"/>
      <c r="Q37" s="31" t="str">
        <f>'Seguimiento Semanal'!A28</f>
        <v>Sem 27</v>
      </c>
      <c r="R37" s="31">
        <f>'Seguimiento Semanal'!N28</f>
        <v>0</v>
      </c>
      <c r="S37" s="31"/>
      <c r="T37" s="31"/>
      <c r="U37" s="15" t="str">
        <f>'Seguimiento Semanal'!A37</f>
        <v>Sem 36</v>
      </c>
      <c r="V37" s="15">
        <f>'Seguimiento Semanal'!J37</f>
        <v>0</v>
      </c>
    </row>
    <row r="38" ht="15.75" customHeight="1">
      <c r="A38" s="32"/>
      <c r="B38" s="32"/>
      <c r="C38" s="32"/>
      <c r="D38" s="32"/>
      <c r="E38" s="32"/>
      <c r="F38" s="32"/>
      <c r="G38" s="32"/>
      <c r="H38" s="32"/>
      <c r="I38" s="32"/>
      <c r="J38" s="32"/>
      <c r="K38" s="32"/>
      <c r="L38" s="32"/>
      <c r="M38" s="32"/>
      <c r="N38" s="32"/>
      <c r="Q38" s="31" t="str">
        <f>'Seguimiento Semanal'!A29</f>
        <v>Sem 28</v>
      </c>
      <c r="R38" s="31">
        <f>'Seguimiento Semanal'!N29</f>
        <v>0</v>
      </c>
      <c r="S38" s="31"/>
      <c r="T38" s="31"/>
      <c r="U38" s="15" t="str">
        <f>'Seguimiento Semanal'!A38</f>
        <v>Sem 37</v>
      </c>
      <c r="V38" s="15">
        <f>'Seguimiento Semanal'!J38</f>
        <v>0</v>
      </c>
    </row>
    <row r="39" ht="15.75" customHeight="1">
      <c r="A39" s="32"/>
      <c r="B39" s="32"/>
      <c r="C39" s="32"/>
      <c r="D39" s="32"/>
      <c r="E39" s="32"/>
      <c r="F39" s="32"/>
      <c r="G39" s="32"/>
      <c r="H39" s="32"/>
      <c r="I39" s="32"/>
      <c r="J39" s="32"/>
      <c r="K39" s="32"/>
      <c r="L39" s="32"/>
      <c r="M39" s="32"/>
      <c r="N39" s="32"/>
      <c r="Q39" s="31" t="str">
        <f>'Seguimiento Semanal'!A30</f>
        <v>Sem 29</v>
      </c>
      <c r="R39" s="31">
        <f>'Seguimiento Semanal'!N30</f>
        <v>0</v>
      </c>
      <c r="S39" s="31"/>
      <c r="T39" s="31"/>
      <c r="U39" s="15" t="str">
        <f>'Seguimiento Semanal'!A39</f>
        <v>Sem 38</v>
      </c>
      <c r="V39" s="15">
        <f>'Seguimiento Semanal'!J39</f>
        <v>0</v>
      </c>
    </row>
    <row r="40" ht="15.75" customHeight="1">
      <c r="A40" s="32"/>
      <c r="B40" s="32"/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Q40" s="31" t="str">
        <f>'Seguimiento Semanal'!A31</f>
        <v>Sem 30</v>
      </c>
      <c r="R40" s="31">
        <f>'Seguimiento Semanal'!N31</f>
        <v>0</v>
      </c>
      <c r="S40" s="31"/>
      <c r="T40" s="31"/>
      <c r="U40" s="15" t="str">
        <f>'Seguimiento Semanal'!A40</f>
        <v>Sem 39</v>
      </c>
      <c r="V40" s="15">
        <f>'Seguimiento Semanal'!J40</f>
        <v>0</v>
      </c>
    </row>
    <row r="41" ht="15.75" customHeight="1">
      <c r="A41" s="32"/>
      <c r="B41" s="32"/>
      <c r="C41" s="32"/>
      <c r="D41" s="32"/>
      <c r="E41" s="32"/>
      <c r="F41" s="32"/>
      <c r="G41" s="32"/>
      <c r="H41" s="32"/>
      <c r="I41" s="32"/>
      <c r="J41" s="54" t="s">
        <v>84</v>
      </c>
      <c r="U41" s="15" t="str">
        <f>'Seguimiento Semanal'!A41</f>
        <v>Sem 40</v>
      </c>
      <c r="V41" s="15">
        <f>'Seguimiento Semanal'!J41</f>
        <v>0</v>
      </c>
    </row>
    <row r="42" ht="15.75" customHeight="1">
      <c r="A42" s="32"/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Q42" s="31" t="str">
        <f>'Seguimiento Semanal'!A33</f>
        <v>Sem 32</v>
      </c>
      <c r="R42" s="31">
        <f>'Seguimiento Semanal'!N33</f>
        <v>0</v>
      </c>
      <c r="S42" s="31"/>
      <c r="T42" s="31"/>
      <c r="U42" s="15" t="str">
        <f>'Seguimiento Semanal'!A42</f>
        <v>Sem 41</v>
      </c>
      <c r="V42" s="15">
        <f>'Seguimiento Semanal'!J42</f>
        <v>0</v>
      </c>
    </row>
    <row r="43" ht="15.75" customHeight="1">
      <c r="Q43" s="31" t="str">
        <f>'Seguimiento Semanal'!A34</f>
        <v>Sem 33</v>
      </c>
      <c r="R43" s="31">
        <f>'Seguimiento Semanal'!N34</f>
        <v>0</v>
      </c>
      <c r="S43" s="31"/>
      <c r="T43" s="31"/>
      <c r="U43" s="15" t="str">
        <f>'Seguimiento Semanal'!A43</f>
        <v>Sem 42</v>
      </c>
      <c r="V43" s="15">
        <f>'Seguimiento Semanal'!J43</f>
        <v>0</v>
      </c>
    </row>
    <row r="44" ht="15.75" customHeight="1">
      <c r="Q44" s="31" t="str">
        <f>'Seguimiento Semanal'!A35</f>
        <v>Sem 34</v>
      </c>
      <c r="R44" s="31">
        <f>'Seguimiento Semanal'!N35</f>
        <v>0</v>
      </c>
      <c r="S44" s="31"/>
      <c r="T44" s="31"/>
      <c r="U44" s="15" t="str">
        <f>'Seguimiento Semanal'!A44</f>
        <v>Sem 43</v>
      </c>
      <c r="V44" s="15">
        <f>'Seguimiento Semanal'!J44</f>
        <v>0</v>
      </c>
    </row>
    <row r="45" ht="15.75" customHeight="1">
      <c r="Q45" s="31" t="str">
        <f>'Seguimiento Semanal'!A36</f>
        <v>Sem 35</v>
      </c>
      <c r="R45" s="31">
        <f>'Seguimiento Semanal'!N36</f>
        <v>0</v>
      </c>
      <c r="S45" s="31"/>
      <c r="T45" s="31"/>
      <c r="U45" s="15" t="str">
        <f>'Seguimiento Semanal'!A45</f>
        <v>Sem 44</v>
      </c>
      <c r="V45" s="15">
        <f>'Seguimiento Semanal'!J45</f>
        <v>0</v>
      </c>
    </row>
    <row r="46" ht="15.75" customHeight="1">
      <c r="Q46" s="31" t="str">
        <f>'Seguimiento Semanal'!A37</f>
        <v>Sem 36</v>
      </c>
      <c r="R46" s="31">
        <f>'Seguimiento Semanal'!N37</f>
        <v>0</v>
      </c>
      <c r="S46" s="31"/>
      <c r="T46" s="31"/>
      <c r="U46" s="15" t="str">
        <f>'Seguimiento Semanal'!A46</f>
        <v>Sem 45</v>
      </c>
      <c r="V46" s="15">
        <f>'Seguimiento Semanal'!J46</f>
        <v>0</v>
      </c>
    </row>
    <row r="47" ht="15.75" customHeight="1">
      <c r="Q47" s="31" t="str">
        <f>'Seguimiento Semanal'!A38</f>
        <v>Sem 37</v>
      </c>
      <c r="R47" s="31">
        <f>'Seguimiento Semanal'!N38</f>
        <v>0</v>
      </c>
      <c r="S47" s="31"/>
      <c r="T47" s="31"/>
      <c r="U47" s="15" t="str">
        <f>'Seguimiento Semanal'!A47</f>
        <v>Sem 46</v>
      </c>
      <c r="V47" s="15">
        <f>'Seguimiento Semanal'!J47</f>
        <v>0</v>
      </c>
    </row>
    <row r="48" ht="15.75" customHeight="1">
      <c r="Q48" s="31" t="str">
        <f>'Seguimiento Semanal'!A39</f>
        <v>Sem 38</v>
      </c>
      <c r="R48" s="31">
        <f>'Seguimiento Semanal'!N39</f>
        <v>0</v>
      </c>
      <c r="S48" s="31"/>
      <c r="T48" s="31"/>
      <c r="U48" s="15" t="str">
        <f>'Seguimiento Semanal'!A48</f>
        <v>Sem 47</v>
      </c>
      <c r="V48" s="15">
        <f>'Seguimiento Semanal'!J48</f>
        <v>0</v>
      </c>
    </row>
    <row r="49" ht="15.75" customHeight="1">
      <c r="Q49" s="31" t="str">
        <f>'Seguimiento Semanal'!A40</f>
        <v>Sem 39</v>
      </c>
      <c r="R49" s="31">
        <f>'Seguimiento Semanal'!N40</f>
        <v>0</v>
      </c>
      <c r="S49" s="31"/>
      <c r="T49" s="31"/>
      <c r="U49" s="15" t="str">
        <f>'Seguimiento Semanal'!A49</f>
        <v>Sem 48</v>
      </c>
      <c r="V49" s="15">
        <f>'Seguimiento Semanal'!J49</f>
        <v>0</v>
      </c>
    </row>
    <row r="50" ht="15.75" customHeight="1">
      <c r="Q50" s="31" t="str">
        <f>'Seguimiento Semanal'!A41</f>
        <v>Sem 40</v>
      </c>
      <c r="R50" s="31">
        <f>'Seguimiento Semanal'!N41</f>
        <v>0</v>
      </c>
      <c r="S50" s="31"/>
      <c r="T50" s="31"/>
      <c r="U50" s="15" t="str">
        <f>'Seguimiento Semanal'!A50</f>
        <v>Sem 49</v>
      </c>
      <c r="V50" s="15">
        <f>'Seguimiento Semanal'!J50</f>
        <v>0</v>
      </c>
    </row>
    <row r="51" ht="15.75" customHeight="1">
      <c r="Q51" s="31" t="str">
        <f>'Seguimiento Semanal'!A42</f>
        <v>Sem 41</v>
      </c>
      <c r="R51" s="31">
        <f>'Seguimiento Semanal'!N42</f>
        <v>0</v>
      </c>
      <c r="S51" s="31"/>
      <c r="T51" s="31"/>
      <c r="U51" s="15" t="str">
        <f>'Seguimiento Semanal'!A51</f>
        <v>Sem 50</v>
      </c>
      <c r="V51" s="15">
        <f>'Seguimiento Semanal'!J51</f>
        <v>0</v>
      </c>
    </row>
    <row r="52" ht="15.75" customHeight="1">
      <c r="Q52" s="31" t="str">
        <f>'Seguimiento Semanal'!A43</f>
        <v>Sem 42</v>
      </c>
      <c r="R52" s="31">
        <f>'Seguimiento Semanal'!N43</f>
        <v>0</v>
      </c>
      <c r="S52" s="31"/>
      <c r="T52" s="31"/>
      <c r="U52" s="15" t="str">
        <f>'Seguimiento Semanal'!A52</f>
        <v>Sem 51</v>
      </c>
      <c r="V52" s="15">
        <f>'Seguimiento Semanal'!J52</f>
        <v>0</v>
      </c>
    </row>
    <row r="53" ht="15.75" customHeight="1">
      <c r="Q53" s="31" t="str">
        <f>'Seguimiento Semanal'!A44</f>
        <v>Sem 43</v>
      </c>
      <c r="R53" s="31">
        <f>'Seguimiento Semanal'!N44</f>
        <v>0</v>
      </c>
      <c r="S53" s="31"/>
      <c r="T53" s="31"/>
      <c r="U53" s="15" t="str">
        <f>'Seguimiento Semanal'!A53</f>
        <v>Sem 52</v>
      </c>
      <c r="V53" s="15">
        <f>'Seguimiento Semanal'!J53</f>
        <v>0</v>
      </c>
    </row>
    <row r="54" ht="15.75" customHeight="1">
      <c r="Q54" s="31" t="str">
        <f>'Seguimiento Semanal'!A45</f>
        <v>Sem 44</v>
      </c>
      <c r="R54" s="31">
        <f>'Seguimiento Semanal'!N45</f>
        <v>0</v>
      </c>
      <c r="S54" s="31"/>
      <c r="T54" s="31"/>
    </row>
    <row r="55" ht="15.75" customHeight="1">
      <c r="Q55" s="31" t="str">
        <f>'Seguimiento Semanal'!A46</f>
        <v>Sem 45</v>
      </c>
      <c r="R55" s="31">
        <f>'Seguimiento Semanal'!N46</f>
        <v>0</v>
      </c>
      <c r="S55" s="31"/>
      <c r="T55" s="31"/>
    </row>
    <row r="56" ht="15.75" customHeight="1">
      <c r="Q56" s="31" t="str">
        <f>'Seguimiento Semanal'!A47</f>
        <v>Sem 46</v>
      </c>
      <c r="R56" s="31">
        <f>'Seguimiento Semanal'!N47</f>
        <v>0</v>
      </c>
      <c r="S56" s="31"/>
      <c r="T56" s="31"/>
    </row>
    <row r="57" ht="15.75" customHeight="1">
      <c r="Q57" s="31" t="str">
        <f>'Seguimiento Semanal'!A48</f>
        <v>Sem 47</v>
      </c>
      <c r="R57" s="31">
        <f>'Seguimiento Semanal'!N48</f>
        <v>0</v>
      </c>
      <c r="S57" s="31"/>
      <c r="T57" s="31"/>
    </row>
    <row r="58" ht="15.75" customHeight="1">
      <c r="Q58" s="31" t="str">
        <f>'Seguimiento Semanal'!A49</f>
        <v>Sem 48</v>
      </c>
      <c r="R58" s="31">
        <f>'Seguimiento Semanal'!N49</f>
        <v>0</v>
      </c>
      <c r="S58" s="31"/>
      <c r="T58" s="31"/>
    </row>
    <row r="59" ht="15.75" customHeight="1">
      <c r="Q59" s="31" t="str">
        <f>'Seguimiento Semanal'!A50</f>
        <v>Sem 49</v>
      </c>
      <c r="R59" s="31">
        <f>'Seguimiento Semanal'!N50</f>
        <v>0</v>
      </c>
      <c r="S59" s="31"/>
      <c r="T59" s="31"/>
    </row>
    <row r="60" ht="15.75" customHeight="1">
      <c r="Q60" s="31" t="str">
        <f>'Seguimiento Semanal'!A51</f>
        <v>Sem 50</v>
      </c>
      <c r="R60" s="31">
        <f>'Seguimiento Semanal'!N51</f>
        <v>0</v>
      </c>
      <c r="S60" s="31"/>
      <c r="T60" s="31"/>
    </row>
    <row r="61" ht="15.75" customHeight="1">
      <c r="Q61" s="31" t="str">
        <f>'Seguimiento Semanal'!A52</f>
        <v>Sem 51</v>
      </c>
      <c r="R61" s="31">
        <f>'Seguimiento Semanal'!N52</f>
        <v>0</v>
      </c>
      <c r="S61" s="31"/>
      <c r="T61" s="31"/>
    </row>
    <row r="62" ht="15.75" customHeight="1">
      <c r="Q62" s="31" t="str">
        <f>'Seguimiento Semanal'!A53</f>
        <v>Sem 52</v>
      </c>
      <c r="R62" s="31">
        <f>'Seguimiento Semanal'!N53</f>
        <v>0</v>
      </c>
      <c r="S62" s="31"/>
      <c r="T62" s="31"/>
    </row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28">
    <mergeCell ref="K5:L5"/>
    <mergeCell ref="M5:N5"/>
    <mergeCell ref="J41:T41"/>
    <mergeCell ref="A1:N1"/>
    <mergeCell ref="E3:N3"/>
    <mergeCell ref="A5:B5"/>
    <mergeCell ref="C5:D5"/>
    <mergeCell ref="E5:F5"/>
    <mergeCell ref="G5:H5"/>
    <mergeCell ref="I5:J5"/>
    <mergeCell ref="A6:B6"/>
    <mergeCell ref="C6:D6"/>
    <mergeCell ref="E6:F6"/>
    <mergeCell ref="G6:H6"/>
    <mergeCell ref="I6:J6"/>
    <mergeCell ref="K6:L6"/>
    <mergeCell ref="M6:N6"/>
    <mergeCell ref="A10:N10"/>
    <mergeCell ref="F12:N12"/>
    <mergeCell ref="F13:N18"/>
    <mergeCell ref="A21:N21"/>
    <mergeCell ref="A7:B7"/>
    <mergeCell ref="C7:D7"/>
    <mergeCell ref="E7:F7"/>
    <mergeCell ref="G7:H7"/>
    <mergeCell ref="I7:J7"/>
    <mergeCell ref="K7:L7"/>
    <mergeCell ref="M7:N7"/>
  </mergeCells>
  <conditionalFormatting sqref="E3:N3">
    <cfRule type="expression" dxfId="2" priority="1">
      <formula>ISNUMBER(SEARCH("🚨",E3))</formula>
    </cfRule>
  </conditionalFormatting>
  <conditionalFormatting sqref="E3:N3">
    <cfRule type="expression" dxfId="3" priority="2">
      <formula>ISNUMBER(SEARCH("✅",E3))</formula>
    </cfRule>
  </conditionalFormatting>
  <dataValidations>
    <dataValidation type="list" allowBlank="1" sqref="B3">
      <formula1>'Seguimiento Semanal'!$A$2:$A$53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tabColor rgb="FF00FFFF"/>
    <pageSetUpPr/>
  </sheetPr>
  <sheetViews>
    <sheetView workbookViewId="0"/>
  </sheetViews>
  <sheetFormatPr customHeight="1" defaultColWidth="12.63" defaultRowHeight="15.0"/>
  <cols>
    <col customWidth="1" min="1" max="3" width="18.0"/>
    <col customWidth="1" min="4" max="4" width="25.0"/>
    <col customWidth="1" min="5" max="5" width="20.0"/>
    <col customWidth="1" min="6" max="6" width="8.75"/>
    <col customWidth="1" min="7" max="10" width="18.0"/>
    <col customWidth="1" min="11" max="16" width="8.75"/>
    <col customWidth="1" min="17" max="19" width="2.0"/>
    <col customWidth="1" min="20" max="26" width="14.38"/>
  </cols>
  <sheetData>
    <row r="1" ht="30.0" customHeight="1">
      <c r="A1" s="55" t="s">
        <v>85</v>
      </c>
    </row>
    <row r="3">
      <c r="A3" s="56" t="s">
        <v>86</v>
      </c>
      <c r="B3" s="57">
        <f>A9</f>
        <v>46143</v>
      </c>
      <c r="G3" s="58" t="s">
        <v>87</v>
      </c>
    </row>
    <row r="4">
      <c r="G4" s="59" t="s">
        <v>88</v>
      </c>
    </row>
    <row r="5">
      <c r="A5" s="60" t="s">
        <v>89</v>
      </c>
      <c r="B5" s="60" t="s">
        <v>90</v>
      </c>
      <c r="C5" s="60" t="s">
        <v>91</v>
      </c>
      <c r="D5" s="60" t="s">
        <v>27</v>
      </c>
      <c r="G5" s="59" t="s">
        <v>92</v>
      </c>
    </row>
    <row r="6" ht="34.5" customHeight="1">
      <c r="A6" s="61">
        <f t="array" ref="A6">IFERROR(INDEX($B$9:$B$21,MATCH($B$3,$A$9:$A$21,0)),0)</f>
        <v>0</v>
      </c>
      <c r="B6" s="61">
        <f t="array" ref="B6">IFERROR(INDEX($C$9:$C$21,MATCH($B$3,$A$9:$A$21,0)),0)</f>
        <v>0</v>
      </c>
      <c r="C6" s="62">
        <f t="array" ref="C6">IFERROR(INDEX($D$9:$D$21,MATCH($B$3,$A$9:$A$21,0)),0)</f>
        <v>0</v>
      </c>
      <c r="D6" s="63" t="str">
        <f>IF(A6=0,"Sin reservas registradas",IF(C6&gt;='Config  Metas'!$B$6,"✅ Conversión sobre meta","🚨 Conversión bajo meta"))</f>
        <v>Sin reservas registradas</v>
      </c>
      <c r="G6" s="59" t="s">
        <v>93</v>
      </c>
    </row>
    <row r="7">
      <c r="G7" s="59" t="s">
        <v>94</v>
      </c>
    </row>
    <row r="8" ht="31.5" customHeight="1">
      <c r="A8" s="64" t="s">
        <v>95</v>
      </c>
      <c r="B8" s="64" t="s">
        <v>96</v>
      </c>
      <c r="C8" s="64" t="s">
        <v>97</v>
      </c>
      <c r="D8" s="64" t="s">
        <v>91</v>
      </c>
      <c r="E8" s="64" t="s">
        <v>27</v>
      </c>
      <c r="Q8" s="65" t="s">
        <v>98</v>
      </c>
      <c r="R8" s="65" t="s">
        <v>11</v>
      </c>
      <c r="S8" s="65" t="s">
        <v>99</v>
      </c>
    </row>
    <row r="9" ht="24.0" customHeight="1">
      <c r="A9" s="66">
        <f>DATE(YEAR('Config  Metas'!$B$20),MONTH('Config  Metas'!$B$20),1)</f>
        <v>46143</v>
      </c>
      <c r="B9" s="67">
        <f>SUMIFS('Carga Diaria'!$L:$L,'Carga Diaria'!$A:$A,"&gt;="&amp;A9,'Carga Diaria'!$A:$A,"&lt;"&amp;EDATE(A9,1))</f>
        <v>0</v>
      </c>
      <c r="C9" s="67">
        <f>SUMIFS('Carga Diaria'!$N:$N,'Carga Diaria'!$A:$A,"&gt;="&amp;A9,'Carga Diaria'!$A:$A,"&lt;"&amp;EDATE(A9,1))</f>
        <v>0</v>
      </c>
      <c r="D9" s="68">
        <f t="shared" ref="D9:D21" si="2">IFERROR(C9/B9,0)</f>
        <v>0</v>
      </c>
      <c r="E9" s="69" t="str">
        <f>IF(B9=0,"Sin reservas",IF(D9&gt;='Config  Metas'!$B$6,"✅ Sobre meta","🚨 Bajo meta"))</f>
        <v>Sin reservas</v>
      </c>
      <c r="Q9" s="65" t="str">
        <f t="shared" ref="Q9:Q21" si="3">TEXT(A9,"mmm yyyy")</f>
        <v>may 2026</v>
      </c>
      <c r="R9" s="70">
        <f t="shared" ref="R9:S9" si="1">B9</f>
        <v>0</v>
      </c>
      <c r="S9" s="70">
        <f t="shared" si="1"/>
        <v>0</v>
      </c>
    </row>
    <row r="10" ht="24.0" customHeight="1">
      <c r="A10" s="66">
        <f t="shared" ref="A10:A21" si="5">EDATE(A9,1)</f>
        <v>46174</v>
      </c>
      <c r="B10" s="67">
        <f>SUMIFS('Carga Diaria'!$L:$L,'Carga Diaria'!$A:$A,"&gt;="&amp;A10,'Carga Diaria'!$A:$A,"&lt;"&amp;EDATE(A10,1))</f>
        <v>0</v>
      </c>
      <c r="C10" s="67">
        <f>SUMIFS('Carga Diaria'!$N:$N,'Carga Diaria'!$A:$A,"&gt;="&amp;A10,'Carga Diaria'!$A:$A,"&lt;"&amp;EDATE(A10,1))</f>
        <v>0</v>
      </c>
      <c r="D10" s="68">
        <f t="shared" si="2"/>
        <v>0</v>
      </c>
      <c r="E10" s="69" t="str">
        <f>IF(B10=0,"Sin reservas",IF(D10&gt;='Config  Metas'!$B$6,"✅ Sobre meta","🚨 Bajo meta"))</f>
        <v>Sin reservas</v>
      </c>
      <c r="Q10" s="65" t="str">
        <f t="shared" si="3"/>
        <v>jun 2026</v>
      </c>
      <c r="R10" s="70">
        <f t="shared" ref="R10:S10" si="4">B10</f>
        <v>0</v>
      </c>
      <c r="S10" s="70">
        <f t="shared" si="4"/>
        <v>0</v>
      </c>
    </row>
    <row r="11" ht="24.0" customHeight="1">
      <c r="A11" s="66">
        <f t="shared" si="5"/>
        <v>46204</v>
      </c>
      <c r="B11" s="67">
        <f>SUMIFS('Carga Diaria'!$L:$L,'Carga Diaria'!$A:$A,"&gt;="&amp;A11,'Carga Diaria'!$A:$A,"&lt;"&amp;EDATE(A11,1))</f>
        <v>0</v>
      </c>
      <c r="C11" s="67">
        <f>SUMIFS('Carga Diaria'!$N:$N,'Carga Diaria'!$A:$A,"&gt;="&amp;A11,'Carga Diaria'!$A:$A,"&lt;"&amp;EDATE(A11,1))</f>
        <v>0</v>
      </c>
      <c r="D11" s="68">
        <f t="shared" si="2"/>
        <v>0</v>
      </c>
      <c r="E11" s="69" t="str">
        <f>IF(B11=0,"Sin reservas",IF(D11&gt;='Config  Metas'!$B$6,"✅ Sobre meta","🚨 Bajo meta"))</f>
        <v>Sin reservas</v>
      </c>
      <c r="Q11" s="65" t="str">
        <f t="shared" si="3"/>
        <v>jul 2026</v>
      </c>
      <c r="R11" s="70">
        <f t="shared" ref="R11:S11" si="6">B11</f>
        <v>0</v>
      </c>
      <c r="S11" s="70">
        <f t="shared" si="6"/>
        <v>0</v>
      </c>
    </row>
    <row r="12" ht="24.0" customHeight="1">
      <c r="A12" s="66">
        <f t="shared" si="5"/>
        <v>46235</v>
      </c>
      <c r="B12" s="67">
        <f>SUMIFS('Carga Diaria'!$L:$L,'Carga Diaria'!$A:$A,"&gt;="&amp;A12,'Carga Diaria'!$A:$A,"&lt;"&amp;EDATE(A12,1))</f>
        <v>0</v>
      </c>
      <c r="C12" s="67">
        <f>SUMIFS('Carga Diaria'!$N:$N,'Carga Diaria'!$A:$A,"&gt;="&amp;A12,'Carga Diaria'!$A:$A,"&lt;"&amp;EDATE(A12,1))</f>
        <v>0</v>
      </c>
      <c r="D12" s="68">
        <f t="shared" si="2"/>
        <v>0</v>
      </c>
      <c r="E12" s="69" t="str">
        <f>IF(B12=0,"Sin reservas",IF(D12&gt;='Config  Metas'!$B$6,"✅ Sobre meta","🚨 Bajo meta"))</f>
        <v>Sin reservas</v>
      </c>
      <c r="Q12" s="65" t="str">
        <f t="shared" si="3"/>
        <v>ago 2026</v>
      </c>
      <c r="R12" s="70">
        <f t="shared" ref="R12:S12" si="7">B12</f>
        <v>0</v>
      </c>
      <c r="S12" s="70">
        <f t="shared" si="7"/>
        <v>0</v>
      </c>
    </row>
    <row r="13" ht="24.0" customHeight="1">
      <c r="A13" s="66">
        <f t="shared" si="5"/>
        <v>46266</v>
      </c>
      <c r="B13" s="67">
        <f>SUMIFS('Carga Diaria'!$L:$L,'Carga Diaria'!$A:$A,"&gt;="&amp;A13,'Carga Diaria'!$A:$A,"&lt;"&amp;EDATE(A13,1))</f>
        <v>0</v>
      </c>
      <c r="C13" s="67">
        <f>SUMIFS('Carga Diaria'!$N:$N,'Carga Diaria'!$A:$A,"&gt;="&amp;A13,'Carga Diaria'!$A:$A,"&lt;"&amp;EDATE(A13,1))</f>
        <v>0</v>
      </c>
      <c r="D13" s="68">
        <f t="shared" si="2"/>
        <v>0</v>
      </c>
      <c r="E13" s="69" t="str">
        <f>IF(B13=0,"Sin reservas",IF(D13&gt;='Config  Metas'!$B$6,"✅ Sobre meta","🚨 Bajo meta"))</f>
        <v>Sin reservas</v>
      </c>
      <c r="Q13" s="65" t="str">
        <f t="shared" si="3"/>
        <v>sep 2026</v>
      </c>
      <c r="R13" s="70">
        <f t="shared" ref="R13:S13" si="8">B13</f>
        <v>0</v>
      </c>
      <c r="S13" s="70">
        <f t="shared" si="8"/>
        <v>0</v>
      </c>
    </row>
    <row r="14" ht="24.0" customHeight="1">
      <c r="A14" s="66">
        <f t="shared" si="5"/>
        <v>46296</v>
      </c>
      <c r="B14" s="67">
        <f>SUMIFS('Carga Diaria'!$L:$L,'Carga Diaria'!$A:$A,"&gt;="&amp;A14,'Carga Diaria'!$A:$A,"&lt;"&amp;EDATE(A14,1))</f>
        <v>0</v>
      </c>
      <c r="C14" s="67">
        <f>SUMIFS('Carga Diaria'!$N:$N,'Carga Diaria'!$A:$A,"&gt;="&amp;A14,'Carga Diaria'!$A:$A,"&lt;"&amp;EDATE(A14,1))</f>
        <v>0</v>
      </c>
      <c r="D14" s="68">
        <f t="shared" si="2"/>
        <v>0</v>
      </c>
      <c r="E14" s="69" t="str">
        <f>IF(B14=0,"Sin reservas",IF(D14&gt;='Config  Metas'!$B$6,"✅ Sobre meta","🚨 Bajo meta"))</f>
        <v>Sin reservas</v>
      </c>
      <c r="Q14" s="65" t="str">
        <f t="shared" si="3"/>
        <v>oct 2026</v>
      </c>
      <c r="R14" s="70">
        <f t="shared" ref="R14:S14" si="9">B14</f>
        <v>0</v>
      </c>
      <c r="S14" s="70">
        <f t="shared" si="9"/>
        <v>0</v>
      </c>
    </row>
    <row r="15" ht="24.0" customHeight="1">
      <c r="A15" s="66">
        <f t="shared" si="5"/>
        <v>46327</v>
      </c>
      <c r="B15" s="67">
        <f>SUMIFS('Carga Diaria'!$L:$L,'Carga Diaria'!$A:$A,"&gt;="&amp;A15,'Carga Diaria'!$A:$A,"&lt;"&amp;EDATE(A15,1))</f>
        <v>0</v>
      </c>
      <c r="C15" s="67">
        <f>SUMIFS('Carga Diaria'!$N:$N,'Carga Diaria'!$A:$A,"&gt;="&amp;A15,'Carga Diaria'!$A:$A,"&lt;"&amp;EDATE(A15,1))</f>
        <v>0</v>
      </c>
      <c r="D15" s="68">
        <f t="shared" si="2"/>
        <v>0</v>
      </c>
      <c r="E15" s="69" t="str">
        <f>IF(B15=0,"Sin reservas",IF(D15&gt;='Config  Metas'!$B$6,"✅ Sobre meta","🚨 Bajo meta"))</f>
        <v>Sin reservas</v>
      </c>
      <c r="Q15" s="65" t="str">
        <f t="shared" si="3"/>
        <v>nov 2026</v>
      </c>
      <c r="R15" s="70">
        <f t="shared" ref="R15:S15" si="10">B15</f>
        <v>0</v>
      </c>
      <c r="S15" s="70">
        <f t="shared" si="10"/>
        <v>0</v>
      </c>
    </row>
    <row r="16" ht="24.0" customHeight="1">
      <c r="A16" s="66">
        <f t="shared" si="5"/>
        <v>46357</v>
      </c>
      <c r="B16" s="67">
        <f>SUMIFS('Carga Diaria'!$L:$L,'Carga Diaria'!$A:$A,"&gt;="&amp;A16,'Carga Diaria'!$A:$A,"&lt;"&amp;EDATE(A16,1))</f>
        <v>0</v>
      </c>
      <c r="C16" s="67">
        <f>SUMIFS('Carga Diaria'!$N:$N,'Carga Diaria'!$A:$A,"&gt;="&amp;A16,'Carga Diaria'!$A:$A,"&lt;"&amp;EDATE(A16,1))</f>
        <v>0</v>
      </c>
      <c r="D16" s="68">
        <f t="shared" si="2"/>
        <v>0</v>
      </c>
      <c r="E16" s="69" t="str">
        <f>IF(B16=0,"Sin reservas",IF(D16&gt;='Config  Metas'!$B$6,"✅ Sobre meta","🚨 Bajo meta"))</f>
        <v>Sin reservas</v>
      </c>
      <c r="Q16" s="65" t="str">
        <f t="shared" si="3"/>
        <v>dic 2026</v>
      </c>
      <c r="R16" s="70">
        <f t="shared" ref="R16:S16" si="11">B16</f>
        <v>0</v>
      </c>
      <c r="S16" s="70">
        <f t="shared" si="11"/>
        <v>0</v>
      </c>
    </row>
    <row r="17" ht="24.0" customHeight="1">
      <c r="A17" s="66">
        <f t="shared" si="5"/>
        <v>46388</v>
      </c>
      <c r="B17" s="67">
        <f>SUMIFS('Carga Diaria'!$L:$L,'Carga Diaria'!$A:$A,"&gt;="&amp;A17,'Carga Diaria'!$A:$A,"&lt;"&amp;EDATE(A17,1))</f>
        <v>0</v>
      </c>
      <c r="C17" s="67">
        <f>SUMIFS('Carga Diaria'!$N:$N,'Carga Diaria'!$A:$A,"&gt;="&amp;A17,'Carga Diaria'!$A:$A,"&lt;"&amp;EDATE(A17,1))</f>
        <v>0</v>
      </c>
      <c r="D17" s="68">
        <f t="shared" si="2"/>
        <v>0</v>
      </c>
      <c r="E17" s="69" t="str">
        <f>IF(B17=0,"Sin reservas",IF(D17&gt;='Config  Metas'!$B$6,"✅ Sobre meta","🚨 Bajo meta"))</f>
        <v>Sin reservas</v>
      </c>
      <c r="Q17" s="65" t="str">
        <f t="shared" si="3"/>
        <v>ene 2027</v>
      </c>
      <c r="R17" s="70">
        <f t="shared" ref="R17:S17" si="12">B17</f>
        <v>0</v>
      </c>
      <c r="S17" s="70">
        <f t="shared" si="12"/>
        <v>0</v>
      </c>
    </row>
    <row r="18" ht="24.0" customHeight="1">
      <c r="A18" s="66">
        <f t="shared" si="5"/>
        <v>46419</v>
      </c>
      <c r="B18" s="67">
        <f>SUMIFS('Carga Diaria'!$L:$L,'Carga Diaria'!$A:$A,"&gt;="&amp;A18,'Carga Diaria'!$A:$A,"&lt;"&amp;EDATE(A18,1))</f>
        <v>0</v>
      </c>
      <c r="C18" s="67">
        <f>SUMIFS('Carga Diaria'!$N:$N,'Carga Diaria'!$A:$A,"&gt;="&amp;A18,'Carga Diaria'!$A:$A,"&lt;"&amp;EDATE(A18,1))</f>
        <v>0</v>
      </c>
      <c r="D18" s="68">
        <f t="shared" si="2"/>
        <v>0</v>
      </c>
      <c r="E18" s="69" t="str">
        <f>IF(B18=0,"Sin reservas",IF(D18&gt;='Config  Metas'!$B$6,"✅ Sobre meta","🚨 Bajo meta"))</f>
        <v>Sin reservas</v>
      </c>
      <c r="Q18" s="65" t="str">
        <f t="shared" si="3"/>
        <v>feb 2027</v>
      </c>
      <c r="R18" s="70">
        <f t="shared" ref="R18:S18" si="13">B18</f>
        <v>0</v>
      </c>
      <c r="S18" s="70">
        <f t="shared" si="13"/>
        <v>0</v>
      </c>
    </row>
    <row r="19" ht="24.0" customHeight="1">
      <c r="A19" s="66">
        <f t="shared" si="5"/>
        <v>46447</v>
      </c>
      <c r="B19" s="67">
        <f>SUMIFS('Carga Diaria'!$L:$L,'Carga Diaria'!$A:$A,"&gt;="&amp;A19,'Carga Diaria'!$A:$A,"&lt;"&amp;EDATE(A19,1))</f>
        <v>0</v>
      </c>
      <c r="C19" s="67">
        <f>SUMIFS('Carga Diaria'!$N:$N,'Carga Diaria'!$A:$A,"&gt;="&amp;A19,'Carga Diaria'!$A:$A,"&lt;"&amp;EDATE(A19,1))</f>
        <v>0</v>
      </c>
      <c r="D19" s="68">
        <f t="shared" si="2"/>
        <v>0</v>
      </c>
      <c r="E19" s="69" t="str">
        <f>IF(B19=0,"Sin reservas",IF(D19&gt;='Config  Metas'!$B$6,"✅ Sobre meta","🚨 Bajo meta"))</f>
        <v>Sin reservas</v>
      </c>
      <c r="Q19" s="65" t="str">
        <f t="shared" si="3"/>
        <v>mar 2027</v>
      </c>
      <c r="R19" s="70">
        <f t="shared" ref="R19:S19" si="14">B19</f>
        <v>0</v>
      </c>
      <c r="S19" s="70">
        <f t="shared" si="14"/>
        <v>0</v>
      </c>
    </row>
    <row r="20" ht="24.0" customHeight="1">
      <c r="A20" s="66">
        <f t="shared" si="5"/>
        <v>46478</v>
      </c>
      <c r="B20" s="67">
        <f>SUMIFS('Carga Diaria'!$L:$L,'Carga Diaria'!$A:$A,"&gt;="&amp;A20,'Carga Diaria'!$A:$A,"&lt;"&amp;EDATE(A20,1))</f>
        <v>0</v>
      </c>
      <c r="C20" s="67">
        <f>SUMIFS('Carga Diaria'!$N:$N,'Carga Diaria'!$A:$A,"&gt;="&amp;A20,'Carga Diaria'!$A:$A,"&lt;"&amp;EDATE(A20,1))</f>
        <v>0</v>
      </c>
      <c r="D20" s="68">
        <f t="shared" si="2"/>
        <v>0</v>
      </c>
      <c r="E20" s="69" t="str">
        <f>IF(B20=0,"Sin reservas",IF(D20&gt;='Config  Metas'!$B$6,"✅ Sobre meta","🚨 Bajo meta"))</f>
        <v>Sin reservas</v>
      </c>
      <c r="Q20" s="65" t="str">
        <f t="shared" si="3"/>
        <v>abr 2027</v>
      </c>
      <c r="R20" s="70">
        <f t="shared" ref="R20:S20" si="15">B20</f>
        <v>0</v>
      </c>
      <c r="S20" s="70">
        <f t="shared" si="15"/>
        <v>0</v>
      </c>
    </row>
    <row r="21" ht="24.0" customHeight="1">
      <c r="A21" s="66">
        <f t="shared" si="5"/>
        <v>46508</v>
      </c>
      <c r="B21" s="67">
        <f>SUMIFS('Carga Diaria'!$L:$L,'Carga Diaria'!$A:$A,"&gt;="&amp;A21,'Carga Diaria'!$A:$A,"&lt;"&amp;EDATE(A21,1))</f>
        <v>0</v>
      </c>
      <c r="C21" s="67">
        <f>SUMIFS('Carga Diaria'!$N:$N,'Carga Diaria'!$A:$A,"&gt;="&amp;A21,'Carga Diaria'!$A:$A,"&lt;"&amp;EDATE(A21,1))</f>
        <v>0</v>
      </c>
      <c r="D21" s="68">
        <f t="shared" si="2"/>
        <v>0</v>
      </c>
      <c r="E21" s="69" t="str">
        <f>IF(B21=0,"Sin reservas",IF(D21&gt;='Config  Metas'!$B$6,"✅ Sobre meta","🚨 Bajo meta"))</f>
        <v>Sin reservas</v>
      </c>
      <c r="Q21" s="65" t="str">
        <f t="shared" si="3"/>
        <v>may 2027</v>
      </c>
      <c r="R21" s="70">
        <f t="shared" ref="R21:S21" si="16">B21</f>
        <v>0</v>
      </c>
      <c r="S21" s="70">
        <f t="shared" si="16"/>
        <v>0</v>
      </c>
    </row>
    <row r="22" ht="15.75" customHeight="1"/>
    <row r="23" ht="15.75" customHeight="1"/>
    <row r="24" ht="15.75" customHeight="1"/>
    <row r="25" ht="15.75" customHeight="1"/>
    <row r="26" ht="15.75" customHeight="1"/>
    <row r="27" ht="15.75" customHeight="1">
      <c r="G27" s="71" t="s">
        <v>75</v>
      </c>
    </row>
    <row r="28" ht="15.75" customHeight="1">
      <c r="G28" s="72" t="s">
        <v>100</v>
      </c>
    </row>
    <row r="29" ht="15.75" customHeight="1">
      <c r="G29" s="72" t="s">
        <v>101</v>
      </c>
    </row>
    <row r="30" ht="15.75" customHeight="1">
      <c r="G30" s="72" t="s">
        <v>102</v>
      </c>
    </row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0">
    <mergeCell ref="G28:N28"/>
    <mergeCell ref="G29:N29"/>
    <mergeCell ref="G30:N30"/>
    <mergeCell ref="A1:H1"/>
    <mergeCell ref="G3:J3"/>
    <mergeCell ref="G4:J4"/>
    <mergeCell ref="G5:J5"/>
    <mergeCell ref="G6:J6"/>
    <mergeCell ref="G7:J7"/>
    <mergeCell ref="G27:N27"/>
  </mergeCells>
  <conditionalFormatting sqref="E9:E21">
    <cfRule type="expression" dxfId="2" priority="1">
      <formula>ISNUMBER(SEARCH("🚨",E9))</formula>
    </cfRule>
  </conditionalFormatting>
  <conditionalFormatting sqref="E9:E21">
    <cfRule type="expression" dxfId="3" priority="2">
      <formula>ISNUMBER(SEARCH("✅",E9))</formula>
    </cfRule>
  </conditionalFormatting>
  <dataValidations>
    <dataValidation type="list" allowBlank="1" sqref="B3">
      <formula1>'Estado Mensual'!$A$9:$A$21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tabColor rgb="FF9900FF"/>
    <pageSetUpPr/>
  </sheetPr>
  <sheetViews>
    <sheetView workbookViewId="0"/>
  </sheetViews>
  <sheetFormatPr customHeight="1" defaultColWidth="12.63" defaultRowHeight="15.0"/>
  <cols>
    <col customWidth="1" min="1" max="1" width="10.0"/>
    <col customWidth="1" min="2" max="2" width="18.0"/>
    <col customWidth="1" min="3" max="3" width="16.0"/>
    <col customWidth="1" min="4" max="4" width="18.0"/>
    <col customWidth="1" min="5" max="5" width="17.0"/>
    <col customWidth="1" min="6" max="6" width="16.0"/>
    <col customWidth="1" min="7" max="7" width="21.0"/>
    <col customWidth="1" min="8" max="8" width="18.0"/>
    <col customWidth="1" min="9" max="9" width="15.0"/>
    <col customWidth="1" min="10" max="10" width="23.0"/>
    <col customWidth="1" min="11" max="11" width="17.0"/>
    <col customWidth="1" min="12" max="12" width="22.0"/>
    <col customWidth="1" min="13" max="13" width="16.0"/>
    <col customWidth="1" min="14" max="14" width="18.0"/>
    <col customWidth="1" min="15" max="15" width="22.0"/>
    <col customWidth="1" min="16" max="28" width="18.0"/>
    <col customWidth="1" min="29" max="29" width="36.0"/>
  </cols>
  <sheetData>
    <row r="1" ht="42.0" customHeight="1">
      <c r="A1" s="73" t="s">
        <v>1</v>
      </c>
      <c r="B1" s="73" t="s">
        <v>3</v>
      </c>
      <c r="C1" s="73" t="s">
        <v>4</v>
      </c>
      <c r="D1" s="73" t="s">
        <v>5</v>
      </c>
      <c r="E1" s="73" t="s">
        <v>103</v>
      </c>
      <c r="F1" s="73" t="s">
        <v>7</v>
      </c>
      <c r="G1" s="73" t="s">
        <v>104</v>
      </c>
      <c r="H1" s="73" t="s">
        <v>9</v>
      </c>
      <c r="I1" s="73" t="s">
        <v>105</v>
      </c>
      <c r="J1" s="73" t="s">
        <v>106</v>
      </c>
      <c r="K1" s="73" t="s">
        <v>107</v>
      </c>
      <c r="L1" s="73" t="s">
        <v>108</v>
      </c>
      <c r="M1" s="73" t="s">
        <v>109</v>
      </c>
      <c r="N1" s="73" t="s">
        <v>110</v>
      </c>
      <c r="O1" s="73" t="s">
        <v>16</v>
      </c>
      <c r="P1" s="73" t="s">
        <v>111</v>
      </c>
      <c r="Q1" s="73" t="s">
        <v>112</v>
      </c>
      <c r="R1" s="73" t="s">
        <v>113</v>
      </c>
      <c r="S1" s="73" t="s">
        <v>114</v>
      </c>
      <c r="T1" s="73" t="s">
        <v>115</v>
      </c>
      <c r="U1" s="73" t="s">
        <v>116</v>
      </c>
      <c r="V1" s="73" t="s">
        <v>117</v>
      </c>
      <c r="W1" s="73" t="s">
        <v>118</v>
      </c>
      <c r="X1" s="73" t="s">
        <v>119</v>
      </c>
      <c r="Y1" s="73" t="s">
        <v>120</v>
      </c>
      <c r="Z1" s="73" t="s">
        <v>121</v>
      </c>
      <c r="AA1" s="73" t="s">
        <v>122</v>
      </c>
      <c r="AB1" s="73" t="s">
        <v>123</v>
      </c>
      <c r="AC1" s="73" t="s">
        <v>124</v>
      </c>
    </row>
    <row r="2">
      <c r="A2" s="74" t="s">
        <v>66</v>
      </c>
      <c r="B2" s="74">
        <f>SUMIF('Carga Diaria'!$B:$B,$A2,'Carga Diaria'!$D:$D)</f>
        <v>0</v>
      </c>
      <c r="C2" s="74">
        <f>SUMIF('Carga Diaria'!$B:$B,$A2,'Carga Diaria'!$E:$E)</f>
        <v>0</v>
      </c>
      <c r="D2" s="74">
        <f>SUMIF('Carga Diaria'!$B:$B,$A2,'Carga Diaria'!$F:$F)</f>
        <v>0</v>
      </c>
      <c r="E2" s="75">
        <f t="shared" ref="E2:E53" si="1">IFERROR(D2/C2,0)</f>
        <v>0</v>
      </c>
      <c r="F2" s="74">
        <f>SUMIF('Carga Diaria'!$B:$B,$A2,'Carga Diaria'!$H:$H)</f>
        <v>0</v>
      </c>
      <c r="G2" s="75">
        <f t="shared" ref="G2:G53" si="2">IFERROR(F2/D2,0)</f>
        <v>0</v>
      </c>
      <c r="H2" s="74">
        <f>SUMIF('Carga Diaria'!$B:$B,$A2,'Carga Diaria'!$J:$J)</f>
        <v>0</v>
      </c>
      <c r="I2" s="75">
        <f t="shared" ref="I2:I53" si="3">IFERROR(H2/F2,0)</f>
        <v>0</v>
      </c>
      <c r="J2" s="74">
        <f>SUMIF('Carga Diaria'!$B:$B,$A2,'Carga Diaria'!$L:$L)</f>
        <v>0</v>
      </c>
      <c r="K2" s="75">
        <f t="shared" ref="K2:K53" si="4">IFERROR(J2/H2,0)</f>
        <v>0</v>
      </c>
      <c r="L2" s="74">
        <f>SUMIF('Carga Diaria'!$B:$B,$A2,'Carga Diaria'!$N:$N)</f>
        <v>0</v>
      </c>
      <c r="M2" s="75">
        <f t="shared" ref="M2:M53" si="5">IFERROR(L2/J2,0)</f>
        <v>0</v>
      </c>
      <c r="N2" s="74">
        <f>SUMIF('Carga Diaria'!$B:$B,$A2,'Carga Diaria'!$P:$P)</f>
        <v>0</v>
      </c>
      <c r="O2" s="76">
        <f>N2*'Config  Metas'!$B$10</f>
        <v>0</v>
      </c>
      <c r="P2" s="77"/>
      <c r="Q2" s="77"/>
      <c r="R2" s="77"/>
      <c r="S2" s="77"/>
      <c r="T2" s="77"/>
      <c r="U2" s="77"/>
      <c r="V2" s="77"/>
      <c r="W2" s="77"/>
      <c r="X2" s="77"/>
      <c r="Y2" s="77"/>
      <c r="Z2" s="77"/>
      <c r="AA2" s="77"/>
      <c r="AB2" s="77"/>
      <c r="AC2" s="74" t="str">
        <f>IF(E2&lt;'Config  Metas'!$B$2,"🚨 REVISAR HORARIO O SCRIPT",IF(G2&lt;'Config  Metas'!$B$3,"🚨 GUIÓN DÉBIL EN APERTURA",IF(I2&lt;'Config  Metas'!$B$4,"⚠️ FALTA CONFIRMACIÓN PRE-REUNIÓN",IF(K2&lt;'Config  Metas'!$B$5,"🚨 SIN CIERRES DE PRUEBA",IF(M2&lt;'Config  Metas'!$B$6,"🚨 OBJECIONES NO RESUELTAS",IF(N2&lt;'Config  Metas'!$B$7,"🔻 BAJO PISO SEMANAL",IF(AND(E2&gt;='Config  Metas'!$B$2,G2&gt;='Config  Metas'!$B$3,I2&gt;='Config  Metas'!$B$4,K2&gt;='Config  Metas'!$B$5,M2&gt;='Config  Metas'!$B$6,N2&gt;='Config  Metas'!$B$7),"✅ RENDIMIENTO SOBRE META","✅ ESTABLE")))))))</f>
        <v>🚨 REVISAR HORARIO O SCRIPT</v>
      </c>
    </row>
    <row r="3">
      <c r="A3" s="74" t="s">
        <v>125</v>
      </c>
      <c r="B3" s="74">
        <f>SUMIF('Carga Diaria'!$B:$B,$A3,'Carga Diaria'!$D:$D)</f>
        <v>0</v>
      </c>
      <c r="C3" s="74">
        <f>SUMIF('Carga Diaria'!$B:$B,$A3,'Carga Diaria'!$E:$E)</f>
        <v>0</v>
      </c>
      <c r="D3" s="74">
        <f>SUMIF('Carga Diaria'!$B:$B,$A3,'Carga Diaria'!$F:$F)</f>
        <v>0</v>
      </c>
      <c r="E3" s="75">
        <f t="shared" si="1"/>
        <v>0</v>
      </c>
      <c r="F3" s="74">
        <f>SUMIF('Carga Diaria'!$B:$B,$A3,'Carga Diaria'!$H:$H)</f>
        <v>0</v>
      </c>
      <c r="G3" s="75">
        <f t="shared" si="2"/>
        <v>0</v>
      </c>
      <c r="H3" s="74">
        <f>SUMIF('Carga Diaria'!$B:$B,$A3,'Carga Diaria'!$J:$J)</f>
        <v>0</v>
      </c>
      <c r="I3" s="75">
        <f t="shared" si="3"/>
        <v>0</v>
      </c>
      <c r="J3" s="74">
        <f>SUMIF('Carga Diaria'!$B:$B,$A3,'Carga Diaria'!$L:$L)</f>
        <v>0</v>
      </c>
      <c r="K3" s="75">
        <f t="shared" si="4"/>
        <v>0</v>
      </c>
      <c r="L3" s="74">
        <f>SUMIF('Carga Diaria'!$B:$B,$A3,'Carga Diaria'!$N:$N)</f>
        <v>0</v>
      </c>
      <c r="M3" s="75">
        <f t="shared" si="5"/>
        <v>0</v>
      </c>
      <c r="N3" s="74">
        <f>SUMIF('Carga Diaria'!$B:$B,$A3,'Carga Diaria'!$P:$P)</f>
        <v>0</v>
      </c>
      <c r="O3" s="76">
        <f>N3*'Config  Metas'!$B$10</f>
        <v>0</v>
      </c>
      <c r="P3" s="77" t="str">
        <f t="shared" ref="P3:AB3" si="6">IF(C2=0,"N/A",(C3-C2)/C2)</f>
        <v>N/A</v>
      </c>
      <c r="Q3" s="77" t="str">
        <f t="shared" si="6"/>
        <v>N/A</v>
      </c>
      <c r="R3" s="77" t="str">
        <f t="shared" si="6"/>
        <v>N/A</v>
      </c>
      <c r="S3" s="77" t="str">
        <f t="shared" si="6"/>
        <v>N/A</v>
      </c>
      <c r="T3" s="77" t="str">
        <f t="shared" si="6"/>
        <v>N/A</v>
      </c>
      <c r="U3" s="77" t="str">
        <f t="shared" si="6"/>
        <v>N/A</v>
      </c>
      <c r="V3" s="77" t="str">
        <f t="shared" si="6"/>
        <v>N/A</v>
      </c>
      <c r="W3" s="77" t="str">
        <f t="shared" si="6"/>
        <v>N/A</v>
      </c>
      <c r="X3" s="77" t="str">
        <f t="shared" si="6"/>
        <v>N/A</v>
      </c>
      <c r="Y3" s="77" t="str">
        <f t="shared" si="6"/>
        <v>N/A</v>
      </c>
      <c r="Z3" s="77" t="str">
        <f t="shared" si="6"/>
        <v>N/A</v>
      </c>
      <c r="AA3" s="77" t="str">
        <f t="shared" si="6"/>
        <v>N/A</v>
      </c>
      <c r="AB3" s="77" t="str">
        <f t="shared" si="6"/>
        <v>N/A</v>
      </c>
      <c r="AC3" s="74" t="str">
        <f>IF(E3&lt;'Config  Metas'!$B$2,"🚨 REVISAR HORARIO O SCRIPT",IF(G3&lt;'Config  Metas'!$B$3,"🚨 GUIÓN DÉBIL EN APERTURA",IF(I3&lt;'Config  Metas'!$B$4,"⚠️ FALTA CONFIRMACIÓN PRE-REUNIÓN",IF(K3&lt;'Config  Metas'!$B$5,"🚨 SIN CIERRES DE PRUEBA",IF(M3&lt;'Config  Metas'!$B$6,"🚨 OBJECIONES NO RESUELTAS",IF(N3&lt;'Config  Metas'!$B$7,"🔻 BAJO PISO SEMANAL",IF(AND(E3&gt;='Config  Metas'!$B$2,G3&gt;='Config  Metas'!$B$3,I3&gt;='Config  Metas'!$B$4,K3&gt;='Config  Metas'!$B$5,M3&gt;='Config  Metas'!$B$6,N3&gt;='Config  Metas'!$B$7),"✅ RENDIMIENTO SOBRE META","✅ ESTABLE")))))))</f>
        <v>🚨 REVISAR HORARIO O SCRIPT</v>
      </c>
    </row>
    <row r="4">
      <c r="A4" s="74" t="s">
        <v>126</v>
      </c>
      <c r="B4" s="74">
        <f>SUMIF('Carga Diaria'!$B:$B,$A4,'Carga Diaria'!$D:$D)</f>
        <v>0</v>
      </c>
      <c r="C4" s="74">
        <f>SUMIF('Carga Diaria'!$B:$B,$A4,'Carga Diaria'!$E:$E)</f>
        <v>0</v>
      </c>
      <c r="D4" s="74">
        <f>SUMIF('Carga Diaria'!$B:$B,$A4,'Carga Diaria'!$F:$F)</f>
        <v>0</v>
      </c>
      <c r="E4" s="75">
        <f t="shared" si="1"/>
        <v>0</v>
      </c>
      <c r="F4" s="74">
        <f>SUMIF('Carga Diaria'!$B:$B,$A4,'Carga Diaria'!$H:$H)</f>
        <v>0</v>
      </c>
      <c r="G4" s="75">
        <f t="shared" si="2"/>
        <v>0</v>
      </c>
      <c r="H4" s="74">
        <f>SUMIF('Carga Diaria'!$B:$B,$A4,'Carga Diaria'!$J:$J)</f>
        <v>0</v>
      </c>
      <c r="I4" s="75">
        <f t="shared" si="3"/>
        <v>0</v>
      </c>
      <c r="J4" s="74">
        <f>SUMIF('Carga Diaria'!$B:$B,$A4,'Carga Diaria'!$L:$L)</f>
        <v>0</v>
      </c>
      <c r="K4" s="75">
        <f t="shared" si="4"/>
        <v>0</v>
      </c>
      <c r="L4" s="74">
        <f>SUMIF('Carga Diaria'!$B:$B,$A4,'Carga Diaria'!$N:$N)</f>
        <v>0</v>
      </c>
      <c r="M4" s="75">
        <f t="shared" si="5"/>
        <v>0</v>
      </c>
      <c r="N4" s="74">
        <f>SUMIF('Carga Diaria'!$B:$B,$A4,'Carga Diaria'!$P:$P)</f>
        <v>0</v>
      </c>
      <c r="O4" s="76">
        <f>N4*'Config  Metas'!$B$10</f>
        <v>0</v>
      </c>
      <c r="P4" s="77" t="str">
        <f t="shared" ref="P4:AB4" si="7">IF(C3=0,"N/A",(C4-C3)/C3)</f>
        <v>N/A</v>
      </c>
      <c r="Q4" s="77" t="str">
        <f t="shared" si="7"/>
        <v>N/A</v>
      </c>
      <c r="R4" s="77" t="str">
        <f t="shared" si="7"/>
        <v>N/A</v>
      </c>
      <c r="S4" s="77" t="str">
        <f t="shared" si="7"/>
        <v>N/A</v>
      </c>
      <c r="T4" s="77" t="str">
        <f t="shared" si="7"/>
        <v>N/A</v>
      </c>
      <c r="U4" s="77" t="str">
        <f t="shared" si="7"/>
        <v>N/A</v>
      </c>
      <c r="V4" s="77" t="str">
        <f t="shared" si="7"/>
        <v>N/A</v>
      </c>
      <c r="W4" s="77" t="str">
        <f t="shared" si="7"/>
        <v>N/A</v>
      </c>
      <c r="X4" s="77" t="str">
        <f t="shared" si="7"/>
        <v>N/A</v>
      </c>
      <c r="Y4" s="77" t="str">
        <f t="shared" si="7"/>
        <v>N/A</v>
      </c>
      <c r="Z4" s="77" t="str">
        <f t="shared" si="7"/>
        <v>N/A</v>
      </c>
      <c r="AA4" s="77" t="str">
        <f t="shared" si="7"/>
        <v>N/A</v>
      </c>
      <c r="AB4" s="77" t="str">
        <f t="shared" si="7"/>
        <v>N/A</v>
      </c>
      <c r="AC4" s="74" t="str">
        <f>IF(E4&lt;'Config  Metas'!$B$2,"🚨 REVISAR HORARIO O SCRIPT",IF(G4&lt;'Config  Metas'!$B$3,"🚨 GUIÓN DÉBIL EN APERTURA",IF(I4&lt;'Config  Metas'!$B$4,"⚠️ FALTA CONFIRMACIÓN PRE-REUNIÓN",IF(K4&lt;'Config  Metas'!$B$5,"🚨 SIN CIERRES DE PRUEBA",IF(M4&lt;'Config  Metas'!$B$6,"🚨 OBJECIONES NO RESUELTAS",IF(N4&lt;'Config  Metas'!$B$7,"🔻 BAJO PISO SEMANAL",IF(AND(E4&gt;='Config  Metas'!$B$2,G4&gt;='Config  Metas'!$B$3,I4&gt;='Config  Metas'!$B$4,K4&gt;='Config  Metas'!$B$5,M4&gt;='Config  Metas'!$B$6,N4&gt;='Config  Metas'!$B$7),"✅ RENDIMIENTO SOBRE META","✅ ESTABLE")))))))</f>
        <v>🚨 REVISAR HORARIO O SCRIPT</v>
      </c>
    </row>
    <row r="5">
      <c r="A5" s="74" t="s">
        <v>127</v>
      </c>
      <c r="B5" s="74">
        <f>SUMIF('Carga Diaria'!$B:$B,$A5,'Carga Diaria'!$D:$D)</f>
        <v>0</v>
      </c>
      <c r="C5" s="74">
        <f>SUMIF('Carga Diaria'!$B:$B,$A5,'Carga Diaria'!$E:$E)</f>
        <v>0</v>
      </c>
      <c r="D5" s="74">
        <f>SUMIF('Carga Diaria'!$B:$B,$A5,'Carga Diaria'!$F:$F)</f>
        <v>0</v>
      </c>
      <c r="E5" s="75">
        <f t="shared" si="1"/>
        <v>0</v>
      </c>
      <c r="F5" s="74">
        <f>SUMIF('Carga Diaria'!$B:$B,$A5,'Carga Diaria'!$H:$H)</f>
        <v>0</v>
      </c>
      <c r="G5" s="75">
        <f t="shared" si="2"/>
        <v>0</v>
      </c>
      <c r="H5" s="74">
        <f>SUMIF('Carga Diaria'!$B:$B,$A5,'Carga Diaria'!$J:$J)</f>
        <v>0</v>
      </c>
      <c r="I5" s="75">
        <f t="shared" si="3"/>
        <v>0</v>
      </c>
      <c r="J5" s="74">
        <f>SUMIF('Carga Diaria'!$B:$B,$A5,'Carga Diaria'!$L:$L)</f>
        <v>0</v>
      </c>
      <c r="K5" s="75">
        <f t="shared" si="4"/>
        <v>0</v>
      </c>
      <c r="L5" s="74">
        <f>SUMIF('Carga Diaria'!$B:$B,$A5,'Carga Diaria'!$N:$N)</f>
        <v>0</v>
      </c>
      <c r="M5" s="75">
        <f t="shared" si="5"/>
        <v>0</v>
      </c>
      <c r="N5" s="74">
        <f>SUMIF('Carga Diaria'!$B:$B,$A5,'Carga Diaria'!$P:$P)</f>
        <v>0</v>
      </c>
      <c r="O5" s="76">
        <f>N5*'Config  Metas'!$B$10</f>
        <v>0</v>
      </c>
      <c r="P5" s="77" t="str">
        <f t="shared" ref="P5:AB5" si="8">IF(C4=0,"N/A",(C5-C4)/C4)</f>
        <v>N/A</v>
      </c>
      <c r="Q5" s="77" t="str">
        <f t="shared" si="8"/>
        <v>N/A</v>
      </c>
      <c r="R5" s="77" t="str">
        <f t="shared" si="8"/>
        <v>N/A</v>
      </c>
      <c r="S5" s="77" t="str">
        <f t="shared" si="8"/>
        <v>N/A</v>
      </c>
      <c r="T5" s="77" t="str">
        <f t="shared" si="8"/>
        <v>N/A</v>
      </c>
      <c r="U5" s="77" t="str">
        <f t="shared" si="8"/>
        <v>N/A</v>
      </c>
      <c r="V5" s="77" t="str">
        <f t="shared" si="8"/>
        <v>N/A</v>
      </c>
      <c r="W5" s="77" t="str">
        <f t="shared" si="8"/>
        <v>N/A</v>
      </c>
      <c r="X5" s="77" t="str">
        <f t="shared" si="8"/>
        <v>N/A</v>
      </c>
      <c r="Y5" s="77" t="str">
        <f t="shared" si="8"/>
        <v>N/A</v>
      </c>
      <c r="Z5" s="77" t="str">
        <f t="shared" si="8"/>
        <v>N/A</v>
      </c>
      <c r="AA5" s="77" t="str">
        <f t="shared" si="8"/>
        <v>N/A</v>
      </c>
      <c r="AB5" s="77" t="str">
        <f t="shared" si="8"/>
        <v>N/A</v>
      </c>
      <c r="AC5" s="74" t="str">
        <f>IF(E5&lt;'Config  Metas'!$B$2,"🚨 REVISAR HORARIO O SCRIPT",IF(G5&lt;'Config  Metas'!$B$3,"🚨 GUIÓN DÉBIL EN APERTURA",IF(I5&lt;'Config  Metas'!$B$4,"⚠️ FALTA CONFIRMACIÓN PRE-REUNIÓN",IF(K5&lt;'Config  Metas'!$B$5,"🚨 SIN CIERRES DE PRUEBA",IF(M5&lt;'Config  Metas'!$B$6,"🚨 OBJECIONES NO RESUELTAS",IF(N5&lt;'Config  Metas'!$B$7,"🔻 BAJO PISO SEMANAL",IF(AND(E5&gt;='Config  Metas'!$B$2,G5&gt;='Config  Metas'!$B$3,I5&gt;='Config  Metas'!$B$4,K5&gt;='Config  Metas'!$B$5,M5&gt;='Config  Metas'!$B$6,N5&gt;='Config  Metas'!$B$7),"✅ RENDIMIENTO SOBRE META","✅ ESTABLE")))))))</f>
        <v>🚨 REVISAR HORARIO O SCRIPT</v>
      </c>
    </row>
    <row r="6">
      <c r="A6" s="74" t="s">
        <v>128</v>
      </c>
      <c r="B6" s="74">
        <f>SUMIF('Carga Diaria'!$B:$B,$A6,'Carga Diaria'!$D:$D)</f>
        <v>0</v>
      </c>
      <c r="C6" s="74">
        <f>SUMIF('Carga Diaria'!$B:$B,$A6,'Carga Diaria'!$E:$E)</f>
        <v>0</v>
      </c>
      <c r="D6" s="74">
        <f>SUMIF('Carga Diaria'!$B:$B,$A6,'Carga Diaria'!$F:$F)</f>
        <v>0</v>
      </c>
      <c r="E6" s="75">
        <f t="shared" si="1"/>
        <v>0</v>
      </c>
      <c r="F6" s="74">
        <f>SUMIF('Carga Diaria'!$B:$B,$A6,'Carga Diaria'!$H:$H)</f>
        <v>0</v>
      </c>
      <c r="G6" s="75">
        <f t="shared" si="2"/>
        <v>0</v>
      </c>
      <c r="H6" s="74">
        <f>SUMIF('Carga Diaria'!$B:$B,$A6,'Carga Diaria'!$J:$J)</f>
        <v>0</v>
      </c>
      <c r="I6" s="75">
        <f t="shared" si="3"/>
        <v>0</v>
      </c>
      <c r="J6" s="74">
        <f>SUMIF('Carga Diaria'!$B:$B,$A6,'Carga Diaria'!$L:$L)</f>
        <v>0</v>
      </c>
      <c r="K6" s="75">
        <f t="shared" si="4"/>
        <v>0</v>
      </c>
      <c r="L6" s="74">
        <f>SUMIF('Carga Diaria'!$B:$B,$A6,'Carga Diaria'!$N:$N)</f>
        <v>0</v>
      </c>
      <c r="M6" s="75">
        <f t="shared" si="5"/>
        <v>0</v>
      </c>
      <c r="N6" s="74">
        <f>SUMIF('Carga Diaria'!$B:$B,$A6,'Carga Diaria'!$P:$P)</f>
        <v>0</v>
      </c>
      <c r="O6" s="76">
        <f>N6*'Config  Metas'!$B$10</f>
        <v>0</v>
      </c>
      <c r="P6" s="77" t="str">
        <f t="shared" ref="P6:AB6" si="9">IF(C5=0,"N/A",(C6-C5)/C5)</f>
        <v>N/A</v>
      </c>
      <c r="Q6" s="77" t="str">
        <f t="shared" si="9"/>
        <v>N/A</v>
      </c>
      <c r="R6" s="77" t="str">
        <f t="shared" si="9"/>
        <v>N/A</v>
      </c>
      <c r="S6" s="77" t="str">
        <f t="shared" si="9"/>
        <v>N/A</v>
      </c>
      <c r="T6" s="77" t="str">
        <f t="shared" si="9"/>
        <v>N/A</v>
      </c>
      <c r="U6" s="77" t="str">
        <f t="shared" si="9"/>
        <v>N/A</v>
      </c>
      <c r="V6" s="77" t="str">
        <f t="shared" si="9"/>
        <v>N/A</v>
      </c>
      <c r="W6" s="77" t="str">
        <f t="shared" si="9"/>
        <v>N/A</v>
      </c>
      <c r="X6" s="77" t="str">
        <f t="shared" si="9"/>
        <v>N/A</v>
      </c>
      <c r="Y6" s="77" t="str">
        <f t="shared" si="9"/>
        <v>N/A</v>
      </c>
      <c r="Z6" s="77" t="str">
        <f t="shared" si="9"/>
        <v>N/A</v>
      </c>
      <c r="AA6" s="77" t="str">
        <f t="shared" si="9"/>
        <v>N/A</v>
      </c>
      <c r="AB6" s="77" t="str">
        <f t="shared" si="9"/>
        <v>N/A</v>
      </c>
      <c r="AC6" s="74" t="str">
        <f>IF(E6&lt;'Config  Metas'!$B$2,"🚨 REVISAR HORARIO O SCRIPT",IF(G6&lt;'Config  Metas'!$B$3,"🚨 GUIÓN DÉBIL EN APERTURA",IF(I6&lt;'Config  Metas'!$B$4,"⚠️ FALTA CONFIRMACIÓN PRE-REUNIÓN",IF(K6&lt;'Config  Metas'!$B$5,"🚨 SIN CIERRES DE PRUEBA",IF(M6&lt;'Config  Metas'!$B$6,"🚨 OBJECIONES NO RESUELTAS",IF(N6&lt;'Config  Metas'!$B$7,"🔻 BAJO PISO SEMANAL",IF(AND(E6&gt;='Config  Metas'!$B$2,G6&gt;='Config  Metas'!$B$3,I6&gt;='Config  Metas'!$B$4,K6&gt;='Config  Metas'!$B$5,M6&gt;='Config  Metas'!$B$6,N6&gt;='Config  Metas'!$B$7),"✅ RENDIMIENTO SOBRE META","✅ ESTABLE")))))))</f>
        <v>🚨 REVISAR HORARIO O SCRIPT</v>
      </c>
    </row>
    <row r="7">
      <c r="A7" s="74" t="s">
        <v>129</v>
      </c>
      <c r="B7" s="74">
        <f>SUMIF('Carga Diaria'!$B:$B,$A7,'Carga Diaria'!$D:$D)</f>
        <v>0</v>
      </c>
      <c r="C7" s="74">
        <f>SUMIF('Carga Diaria'!$B:$B,$A7,'Carga Diaria'!$E:$E)</f>
        <v>0</v>
      </c>
      <c r="D7" s="74">
        <f>SUMIF('Carga Diaria'!$B:$B,$A7,'Carga Diaria'!$F:$F)</f>
        <v>0</v>
      </c>
      <c r="E7" s="75">
        <f t="shared" si="1"/>
        <v>0</v>
      </c>
      <c r="F7" s="74">
        <f>SUMIF('Carga Diaria'!$B:$B,$A7,'Carga Diaria'!$H:$H)</f>
        <v>0</v>
      </c>
      <c r="G7" s="75">
        <f t="shared" si="2"/>
        <v>0</v>
      </c>
      <c r="H7" s="74">
        <f>SUMIF('Carga Diaria'!$B:$B,$A7,'Carga Diaria'!$J:$J)</f>
        <v>0</v>
      </c>
      <c r="I7" s="75">
        <f t="shared" si="3"/>
        <v>0</v>
      </c>
      <c r="J7" s="74">
        <f>SUMIF('Carga Diaria'!$B:$B,$A7,'Carga Diaria'!$L:$L)</f>
        <v>0</v>
      </c>
      <c r="K7" s="75">
        <f t="shared" si="4"/>
        <v>0</v>
      </c>
      <c r="L7" s="74">
        <f>SUMIF('Carga Diaria'!$B:$B,$A7,'Carga Diaria'!$N:$N)</f>
        <v>0</v>
      </c>
      <c r="M7" s="75">
        <f t="shared" si="5"/>
        <v>0</v>
      </c>
      <c r="N7" s="74">
        <f>SUMIF('Carga Diaria'!$B:$B,$A7,'Carga Diaria'!$P:$P)</f>
        <v>0</v>
      </c>
      <c r="O7" s="76">
        <f>N7*'Config  Metas'!$B$10</f>
        <v>0</v>
      </c>
      <c r="P7" s="77" t="str">
        <f t="shared" ref="P7:AB7" si="10">IF(C6=0,"N/A",(C7-C6)/C6)</f>
        <v>N/A</v>
      </c>
      <c r="Q7" s="77" t="str">
        <f t="shared" si="10"/>
        <v>N/A</v>
      </c>
      <c r="R7" s="77" t="str">
        <f t="shared" si="10"/>
        <v>N/A</v>
      </c>
      <c r="S7" s="77" t="str">
        <f t="shared" si="10"/>
        <v>N/A</v>
      </c>
      <c r="T7" s="77" t="str">
        <f t="shared" si="10"/>
        <v>N/A</v>
      </c>
      <c r="U7" s="77" t="str">
        <f t="shared" si="10"/>
        <v>N/A</v>
      </c>
      <c r="V7" s="77" t="str">
        <f t="shared" si="10"/>
        <v>N/A</v>
      </c>
      <c r="W7" s="77" t="str">
        <f t="shared" si="10"/>
        <v>N/A</v>
      </c>
      <c r="X7" s="77" t="str">
        <f t="shared" si="10"/>
        <v>N/A</v>
      </c>
      <c r="Y7" s="77" t="str">
        <f t="shared" si="10"/>
        <v>N/A</v>
      </c>
      <c r="Z7" s="77" t="str">
        <f t="shared" si="10"/>
        <v>N/A</v>
      </c>
      <c r="AA7" s="77" t="str">
        <f t="shared" si="10"/>
        <v>N/A</v>
      </c>
      <c r="AB7" s="77" t="str">
        <f t="shared" si="10"/>
        <v>N/A</v>
      </c>
      <c r="AC7" s="74" t="str">
        <f>IF(E7&lt;'Config  Metas'!$B$2,"🚨 REVISAR HORARIO O SCRIPT",IF(G7&lt;'Config  Metas'!$B$3,"🚨 GUIÓN DÉBIL EN APERTURA",IF(I7&lt;'Config  Metas'!$B$4,"⚠️ FALTA CONFIRMACIÓN PRE-REUNIÓN",IF(K7&lt;'Config  Metas'!$B$5,"🚨 SIN CIERRES DE PRUEBA",IF(M7&lt;'Config  Metas'!$B$6,"🚨 OBJECIONES NO RESUELTAS",IF(N7&lt;'Config  Metas'!$B$7,"🔻 BAJO PISO SEMANAL",IF(AND(E7&gt;='Config  Metas'!$B$2,G7&gt;='Config  Metas'!$B$3,I7&gt;='Config  Metas'!$B$4,K7&gt;='Config  Metas'!$B$5,M7&gt;='Config  Metas'!$B$6,N7&gt;='Config  Metas'!$B$7),"✅ RENDIMIENTO SOBRE META","✅ ESTABLE")))))))</f>
        <v>🚨 REVISAR HORARIO O SCRIPT</v>
      </c>
    </row>
    <row r="8">
      <c r="A8" s="74" t="s">
        <v>130</v>
      </c>
      <c r="B8" s="74">
        <f>SUMIF('Carga Diaria'!$B:$B,$A8,'Carga Diaria'!$D:$D)</f>
        <v>0</v>
      </c>
      <c r="C8" s="74">
        <f>SUMIF('Carga Diaria'!$B:$B,$A8,'Carga Diaria'!$E:$E)</f>
        <v>0</v>
      </c>
      <c r="D8" s="74">
        <f>SUMIF('Carga Diaria'!$B:$B,$A8,'Carga Diaria'!$F:$F)</f>
        <v>0</v>
      </c>
      <c r="E8" s="75">
        <f t="shared" si="1"/>
        <v>0</v>
      </c>
      <c r="F8" s="74">
        <f>SUMIF('Carga Diaria'!$B:$B,$A8,'Carga Diaria'!$H:$H)</f>
        <v>0</v>
      </c>
      <c r="G8" s="75">
        <f t="shared" si="2"/>
        <v>0</v>
      </c>
      <c r="H8" s="74">
        <f>SUMIF('Carga Diaria'!$B:$B,$A8,'Carga Diaria'!$J:$J)</f>
        <v>0</v>
      </c>
      <c r="I8" s="75">
        <f t="shared" si="3"/>
        <v>0</v>
      </c>
      <c r="J8" s="74">
        <f>SUMIF('Carga Diaria'!$B:$B,$A8,'Carga Diaria'!$L:$L)</f>
        <v>0</v>
      </c>
      <c r="K8" s="75">
        <f t="shared" si="4"/>
        <v>0</v>
      </c>
      <c r="L8" s="74">
        <f>SUMIF('Carga Diaria'!$B:$B,$A8,'Carga Diaria'!$N:$N)</f>
        <v>0</v>
      </c>
      <c r="M8" s="75">
        <f t="shared" si="5"/>
        <v>0</v>
      </c>
      <c r="N8" s="74">
        <f>SUMIF('Carga Diaria'!$B:$B,$A8,'Carga Diaria'!$P:$P)</f>
        <v>0</v>
      </c>
      <c r="O8" s="76">
        <f>N8*'Config  Metas'!$B$10</f>
        <v>0</v>
      </c>
      <c r="P8" s="77" t="str">
        <f t="shared" ref="P8:AB8" si="11">IF(C7=0,"N/A",(C8-C7)/C7)</f>
        <v>N/A</v>
      </c>
      <c r="Q8" s="77" t="str">
        <f t="shared" si="11"/>
        <v>N/A</v>
      </c>
      <c r="R8" s="77" t="str">
        <f t="shared" si="11"/>
        <v>N/A</v>
      </c>
      <c r="S8" s="77" t="str">
        <f t="shared" si="11"/>
        <v>N/A</v>
      </c>
      <c r="T8" s="77" t="str">
        <f t="shared" si="11"/>
        <v>N/A</v>
      </c>
      <c r="U8" s="77" t="str">
        <f t="shared" si="11"/>
        <v>N/A</v>
      </c>
      <c r="V8" s="77" t="str">
        <f t="shared" si="11"/>
        <v>N/A</v>
      </c>
      <c r="W8" s="77" t="str">
        <f t="shared" si="11"/>
        <v>N/A</v>
      </c>
      <c r="X8" s="77" t="str">
        <f t="shared" si="11"/>
        <v>N/A</v>
      </c>
      <c r="Y8" s="77" t="str">
        <f t="shared" si="11"/>
        <v>N/A</v>
      </c>
      <c r="Z8" s="77" t="str">
        <f t="shared" si="11"/>
        <v>N/A</v>
      </c>
      <c r="AA8" s="77" t="str">
        <f t="shared" si="11"/>
        <v>N/A</v>
      </c>
      <c r="AB8" s="77" t="str">
        <f t="shared" si="11"/>
        <v>N/A</v>
      </c>
      <c r="AC8" s="74" t="str">
        <f>IF(E8&lt;'Config  Metas'!$B$2,"🚨 REVISAR HORARIO O SCRIPT",IF(G8&lt;'Config  Metas'!$B$3,"🚨 GUIÓN DÉBIL EN APERTURA",IF(I8&lt;'Config  Metas'!$B$4,"⚠️ FALTA CONFIRMACIÓN PRE-REUNIÓN",IF(K8&lt;'Config  Metas'!$B$5,"🚨 SIN CIERRES DE PRUEBA",IF(M8&lt;'Config  Metas'!$B$6,"🚨 OBJECIONES NO RESUELTAS",IF(N8&lt;'Config  Metas'!$B$7,"🔻 BAJO PISO SEMANAL",IF(AND(E8&gt;='Config  Metas'!$B$2,G8&gt;='Config  Metas'!$B$3,I8&gt;='Config  Metas'!$B$4,K8&gt;='Config  Metas'!$B$5,M8&gt;='Config  Metas'!$B$6,N8&gt;='Config  Metas'!$B$7),"✅ RENDIMIENTO SOBRE META","✅ ESTABLE")))))))</f>
        <v>🚨 REVISAR HORARIO O SCRIPT</v>
      </c>
    </row>
    <row r="9">
      <c r="A9" s="74" t="s">
        <v>131</v>
      </c>
      <c r="B9" s="74">
        <f>SUMIF('Carga Diaria'!$B:$B,$A9,'Carga Diaria'!$D:$D)</f>
        <v>0</v>
      </c>
      <c r="C9" s="74">
        <f>SUMIF('Carga Diaria'!$B:$B,$A9,'Carga Diaria'!$E:$E)</f>
        <v>0</v>
      </c>
      <c r="D9" s="74">
        <f>SUMIF('Carga Diaria'!$B:$B,$A9,'Carga Diaria'!$F:$F)</f>
        <v>0</v>
      </c>
      <c r="E9" s="75">
        <f t="shared" si="1"/>
        <v>0</v>
      </c>
      <c r="F9" s="74">
        <f>SUMIF('Carga Diaria'!$B:$B,$A9,'Carga Diaria'!$H:$H)</f>
        <v>0</v>
      </c>
      <c r="G9" s="75">
        <f t="shared" si="2"/>
        <v>0</v>
      </c>
      <c r="H9" s="74">
        <f>SUMIF('Carga Diaria'!$B:$B,$A9,'Carga Diaria'!$J:$J)</f>
        <v>0</v>
      </c>
      <c r="I9" s="75">
        <f t="shared" si="3"/>
        <v>0</v>
      </c>
      <c r="J9" s="74">
        <f>SUMIF('Carga Diaria'!$B:$B,$A9,'Carga Diaria'!$L:$L)</f>
        <v>0</v>
      </c>
      <c r="K9" s="75">
        <f t="shared" si="4"/>
        <v>0</v>
      </c>
      <c r="L9" s="74">
        <f>SUMIF('Carga Diaria'!$B:$B,$A9,'Carga Diaria'!$N:$N)</f>
        <v>0</v>
      </c>
      <c r="M9" s="75">
        <f t="shared" si="5"/>
        <v>0</v>
      </c>
      <c r="N9" s="74">
        <f>SUMIF('Carga Diaria'!$B:$B,$A9,'Carga Diaria'!$P:$P)</f>
        <v>0</v>
      </c>
      <c r="O9" s="76">
        <f>N9*'Config  Metas'!$B$10</f>
        <v>0</v>
      </c>
      <c r="P9" s="77" t="str">
        <f t="shared" ref="P9:AB9" si="12">IF(C8=0,"N/A",(C9-C8)/C8)</f>
        <v>N/A</v>
      </c>
      <c r="Q9" s="77" t="str">
        <f t="shared" si="12"/>
        <v>N/A</v>
      </c>
      <c r="R9" s="77" t="str">
        <f t="shared" si="12"/>
        <v>N/A</v>
      </c>
      <c r="S9" s="77" t="str">
        <f t="shared" si="12"/>
        <v>N/A</v>
      </c>
      <c r="T9" s="77" t="str">
        <f t="shared" si="12"/>
        <v>N/A</v>
      </c>
      <c r="U9" s="77" t="str">
        <f t="shared" si="12"/>
        <v>N/A</v>
      </c>
      <c r="V9" s="77" t="str">
        <f t="shared" si="12"/>
        <v>N/A</v>
      </c>
      <c r="W9" s="77" t="str">
        <f t="shared" si="12"/>
        <v>N/A</v>
      </c>
      <c r="X9" s="77" t="str">
        <f t="shared" si="12"/>
        <v>N/A</v>
      </c>
      <c r="Y9" s="77" t="str">
        <f t="shared" si="12"/>
        <v>N/A</v>
      </c>
      <c r="Z9" s="77" t="str">
        <f t="shared" si="12"/>
        <v>N/A</v>
      </c>
      <c r="AA9" s="77" t="str">
        <f t="shared" si="12"/>
        <v>N/A</v>
      </c>
      <c r="AB9" s="77" t="str">
        <f t="shared" si="12"/>
        <v>N/A</v>
      </c>
      <c r="AC9" s="74" t="str">
        <f>IF(E9&lt;'Config  Metas'!$B$2,"🚨 REVISAR HORARIO O SCRIPT",IF(G9&lt;'Config  Metas'!$B$3,"🚨 GUIÓN DÉBIL EN APERTURA",IF(I9&lt;'Config  Metas'!$B$4,"⚠️ FALTA CONFIRMACIÓN PRE-REUNIÓN",IF(K9&lt;'Config  Metas'!$B$5,"🚨 SIN CIERRES DE PRUEBA",IF(M9&lt;'Config  Metas'!$B$6,"🚨 OBJECIONES NO RESUELTAS",IF(N9&lt;'Config  Metas'!$B$7,"🔻 BAJO PISO SEMANAL",IF(AND(E9&gt;='Config  Metas'!$B$2,G9&gt;='Config  Metas'!$B$3,I9&gt;='Config  Metas'!$B$4,K9&gt;='Config  Metas'!$B$5,M9&gt;='Config  Metas'!$B$6,N9&gt;='Config  Metas'!$B$7),"✅ RENDIMIENTO SOBRE META","✅ ESTABLE")))))))</f>
        <v>🚨 REVISAR HORARIO O SCRIPT</v>
      </c>
    </row>
    <row r="10">
      <c r="A10" s="74" t="s">
        <v>132</v>
      </c>
      <c r="B10" s="74">
        <f>SUMIF('Carga Diaria'!$B:$B,$A10,'Carga Diaria'!$D:$D)</f>
        <v>0</v>
      </c>
      <c r="C10" s="74">
        <f>SUMIF('Carga Diaria'!$B:$B,$A10,'Carga Diaria'!$E:$E)</f>
        <v>0</v>
      </c>
      <c r="D10" s="74">
        <f>SUMIF('Carga Diaria'!$B:$B,$A10,'Carga Diaria'!$F:$F)</f>
        <v>0</v>
      </c>
      <c r="E10" s="75">
        <f t="shared" si="1"/>
        <v>0</v>
      </c>
      <c r="F10" s="74">
        <f>SUMIF('Carga Diaria'!$B:$B,$A10,'Carga Diaria'!$H:$H)</f>
        <v>0</v>
      </c>
      <c r="G10" s="75">
        <f t="shared" si="2"/>
        <v>0</v>
      </c>
      <c r="H10" s="74">
        <f>SUMIF('Carga Diaria'!$B:$B,$A10,'Carga Diaria'!$J:$J)</f>
        <v>0</v>
      </c>
      <c r="I10" s="75">
        <f t="shared" si="3"/>
        <v>0</v>
      </c>
      <c r="J10" s="74">
        <f>SUMIF('Carga Diaria'!$B:$B,$A10,'Carga Diaria'!$L:$L)</f>
        <v>0</v>
      </c>
      <c r="K10" s="75">
        <f t="shared" si="4"/>
        <v>0</v>
      </c>
      <c r="L10" s="74">
        <f>SUMIF('Carga Diaria'!$B:$B,$A10,'Carga Diaria'!$N:$N)</f>
        <v>0</v>
      </c>
      <c r="M10" s="75">
        <f t="shared" si="5"/>
        <v>0</v>
      </c>
      <c r="N10" s="74">
        <f>SUMIF('Carga Diaria'!$B:$B,$A10,'Carga Diaria'!$P:$P)</f>
        <v>0</v>
      </c>
      <c r="O10" s="76">
        <f>N10*'Config  Metas'!$B$10</f>
        <v>0</v>
      </c>
      <c r="P10" s="77" t="str">
        <f t="shared" ref="P10:AB10" si="13">IF(C9=0,"N/A",(C10-C9)/C9)</f>
        <v>N/A</v>
      </c>
      <c r="Q10" s="77" t="str">
        <f t="shared" si="13"/>
        <v>N/A</v>
      </c>
      <c r="R10" s="77" t="str">
        <f t="shared" si="13"/>
        <v>N/A</v>
      </c>
      <c r="S10" s="77" t="str">
        <f t="shared" si="13"/>
        <v>N/A</v>
      </c>
      <c r="T10" s="77" t="str">
        <f t="shared" si="13"/>
        <v>N/A</v>
      </c>
      <c r="U10" s="77" t="str">
        <f t="shared" si="13"/>
        <v>N/A</v>
      </c>
      <c r="V10" s="77" t="str">
        <f t="shared" si="13"/>
        <v>N/A</v>
      </c>
      <c r="W10" s="77" t="str">
        <f t="shared" si="13"/>
        <v>N/A</v>
      </c>
      <c r="X10" s="77" t="str">
        <f t="shared" si="13"/>
        <v>N/A</v>
      </c>
      <c r="Y10" s="77" t="str">
        <f t="shared" si="13"/>
        <v>N/A</v>
      </c>
      <c r="Z10" s="77" t="str">
        <f t="shared" si="13"/>
        <v>N/A</v>
      </c>
      <c r="AA10" s="77" t="str">
        <f t="shared" si="13"/>
        <v>N/A</v>
      </c>
      <c r="AB10" s="77" t="str">
        <f t="shared" si="13"/>
        <v>N/A</v>
      </c>
      <c r="AC10" s="74" t="str">
        <f>IF(E10&lt;'Config  Metas'!$B$2,"🚨 REVISAR HORARIO O SCRIPT",IF(G10&lt;'Config  Metas'!$B$3,"🚨 GUIÓN DÉBIL EN APERTURA",IF(I10&lt;'Config  Metas'!$B$4,"⚠️ FALTA CONFIRMACIÓN PRE-REUNIÓN",IF(K10&lt;'Config  Metas'!$B$5,"🚨 SIN CIERRES DE PRUEBA",IF(M10&lt;'Config  Metas'!$B$6,"🚨 OBJECIONES NO RESUELTAS",IF(N10&lt;'Config  Metas'!$B$7,"🔻 BAJO PISO SEMANAL",IF(AND(E10&gt;='Config  Metas'!$B$2,G10&gt;='Config  Metas'!$B$3,I10&gt;='Config  Metas'!$B$4,K10&gt;='Config  Metas'!$B$5,M10&gt;='Config  Metas'!$B$6,N10&gt;='Config  Metas'!$B$7),"✅ RENDIMIENTO SOBRE META","✅ ESTABLE")))))))</f>
        <v>🚨 REVISAR HORARIO O SCRIPT</v>
      </c>
    </row>
    <row r="11">
      <c r="A11" s="74" t="s">
        <v>133</v>
      </c>
      <c r="B11" s="74">
        <f>SUMIF('Carga Diaria'!$B:$B,$A11,'Carga Diaria'!$D:$D)</f>
        <v>0</v>
      </c>
      <c r="C11" s="74">
        <f>SUMIF('Carga Diaria'!$B:$B,$A11,'Carga Diaria'!$E:$E)</f>
        <v>0</v>
      </c>
      <c r="D11" s="74">
        <f>SUMIF('Carga Diaria'!$B:$B,$A11,'Carga Diaria'!$F:$F)</f>
        <v>0</v>
      </c>
      <c r="E11" s="75">
        <f t="shared" si="1"/>
        <v>0</v>
      </c>
      <c r="F11" s="74">
        <f>SUMIF('Carga Diaria'!$B:$B,$A11,'Carga Diaria'!$H:$H)</f>
        <v>0</v>
      </c>
      <c r="G11" s="75">
        <f t="shared" si="2"/>
        <v>0</v>
      </c>
      <c r="H11" s="74">
        <f>SUMIF('Carga Diaria'!$B:$B,$A11,'Carga Diaria'!$J:$J)</f>
        <v>0</v>
      </c>
      <c r="I11" s="75">
        <f t="shared" si="3"/>
        <v>0</v>
      </c>
      <c r="J11" s="74">
        <f>SUMIF('Carga Diaria'!$B:$B,$A11,'Carga Diaria'!$L:$L)</f>
        <v>0</v>
      </c>
      <c r="K11" s="75">
        <f t="shared" si="4"/>
        <v>0</v>
      </c>
      <c r="L11" s="74">
        <f>SUMIF('Carga Diaria'!$B:$B,$A11,'Carga Diaria'!$N:$N)</f>
        <v>0</v>
      </c>
      <c r="M11" s="75">
        <f t="shared" si="5"/>
        <v>0</v>
      </c>
      <c r="N11" s="74">
        <f>SUMIF('Carga Diaria'!$B:$B,$A11,'Carga Diaria'!$P:$P)</f>
        <v>0</v>
      </c>
      <c r="O11" s="76">
        <f>N11*'Config  Metas'!$B$10</f>
        <v>0</v>
      </c>
      <c r="P11" s="77" t="str">
        <f t="shared" ref="P11:AB11" si="14">IF(C10=0,"N/A",(C11-C10)/C10)</f>
        <v>N/A</v>
      </c>
      <c r="Q11" s="77" t="str">
        <f t="shared" si="14"/>
        <v>N/A</v>
      </c>
      <c r="R11" s="77" t="str">
        <f t="shared" si="14"/>
        <v>N/A</v>
      </c>
      <c r="S11" s="77" t="str">
        <f t="shared" si="14"/>
        <v>N/A</v>
      </c>
      <c r="T11" s="77" t="str">
        <f t="shared" si="14"/>
        <v>N/A</v>
      </c>
      <c r="U11" s="77" t="str">
        <f t="shared" si="14"/>
        <v>N/A</v>
      </c>
      <c r="V11" s="77" t="str">
        <f t="shared" si="14"/>
        <v>N/A</v>
      </c>
      <c r="W11" s="77" t="str">
        <f t="shared" si="14"/>
        <v>N/A</v>
      </c>
      <c r="X11" s="77" t="str">
        <f t="shared" si="14"/>
        <v>N/A</v>
      </c>
      <c r="Y11" s="77" t="str">
        <f t="shared" si="14"/>
        <v>N/A</v>
      </c>
      <c r="Z11" s="77" t="str">
        <f t="shared" si="14"/>
        <v>N/A</v>
      </c>
      <c r="AA11" s="77" t="str">
        <f t="shared" si="14"/>
        <v>N/A</v>
      </c>
      <c r="AB11" s="77" t="str">
        <f t="shared" si="14"/>
        <v>N/A</v>
      </c>
      <c r="AC11" s="74" t="str">
        <f>IF(E11&lt;'Config  Metas'!$B$2,"🚨 REVISAR HORARIO O SCRIPT",IF(G11&lt;'Config  Metas'!$B$3,"🚨 GUIÓN DÉBIL EN APERTURA",IF(I11&lt;'Config  Metas'!$B$4,"⚠️ FALTA CONFIRMACIÓN PRE-REUNIÓN",IF(K11&lt;'Config  Metas'!$B$5,"🚨 SIN CIERRES DE PRUEBA",IF(M11&lt;'Config  Metas'!$B$6,"🚨 OBJECIONES NO RESUELTAS",IF(N11&lt;'Config  Metas'!$B$7,"🔻 BAJO PISO SEMANAL",IF(AND(E11&gt;='Config  Metas'!$B$2,G11&gt;='Config  Metas'!$B$3,I11&gt;='Config  Metas'!$B$4,K11&gt;='Config  Metas'!$B$5,M11&gt;='Config  Metas'!$B$6,N11&gt;='Config  Metas'!$B$7),"✅ RENDIMIENTO SOBRE META","✅ ESTABLE")))))))</f>
        <v>🚨 REVISAR HORARIO O SCRIPT</v>
      </c>
    </row>
    <row r="12">
      <c r="A12" s="74" t="s">
        <v>134</v>
      </c>
      <c r="B12" s="74">
        <f>SUMIF('Carga Diaria'!$B:$B,$A12,'Carga Diaria'!$D:$D)</f>
        <v>0</v>
      </c>
      <c r="C12" s="74">
        <f>SUMIF('Carga Diaria'!$B:$B,$A12,'Carga Diaria'!$E:$E)</f>
        <v>0</v>
      </c>
      <c r="D12" s="74">
        <f>SUMIF('Carga Diaria'!$B:$B,$A12,'Carga Diaria'!$F:$F)</f>
        <v>0</v>
      </c>
      <c r="E12" s="75">
        <f t="shared" si="1"/>
        <v>0</v>
      </c>
      <c r="F12" s="74">
        <f>SUMIF('Carga Diaria'!$B:$B,$A12,'Carga Diaria'!$H:$H)</f>
        <v>0</v>
      </c>
      <c r="G12" s="75">
        <f t="shared" si="2"/>
        <v>0</v>
      </c>
      <c r="H12" s="74">
        <f>SUMIF('Carga Diaria'!$B:$B,$A12,'Carga Diaria'!$J:$J)</f>
        <v>0</v>
      </c>
      <c r="I12" s="75">
        <f t="shared" si="3"/>
        <v>0</v>
      </c>
      <c r="J12" s="74">
        <f>SUMIF('Carga Diaria'!$B:$B,$A12,'Carga Diaria'!$L:$L)</f>
        <v>0</v>
      </c>
      <c r="K12" s="75">
        <f t="shared" si="4"/>
        <v>0</v>
      </c>
      <c r="L12" s="74">
        <f>SUMIF('Carga Diaria'!$B:$B,$A12,'Carga Diaria'!$N:$N)</f>
        <v>0</v>
      </c>
      <c r="M12" s="75">
        <f t="shared" si="5"/>
        <v>0</v>
      </c>
      <c r="N12" s="74">
        <f>SUMIF('Carga Diaria'!$B:$B,$A12,'Carga Diaria'!$P:$P)</f>
        <v>0</v>
      </c>
      <c r="O12" s="76">
        <f>N12*'Config  Metas'!$B$10</f>
        <v>0</v>
      </c>
      <c r="P12" s="77" t="str">
        <f t="shared" ref="P12:AB12" si="15">IF(C11=0,"N/A",(C12-C11)/C11)</f>
        <v>N/A</v>
      </c>
      <c r="Q12" s="77" t="str">
        <f t="shared" si="15"/>
        <v>N/A</v>
      </c>
      <c r="R12" s="77" t="str">
        <f t="shared" si="15"/>
        <v>N/A</v>
      </c>
      <c r="S12" s="77" t="str">
        <f t="shared" si="15"/>
        <v>N/A</v>
      </c>
      <c r="T12" s="77" t="str">
        <f t="shared" si="15"/>
        <v>N/A</v>
      </c>
      <c r="U12" s="77" t="str">
        <f t="shared" si="15"/>
        <v>N/A</v>
      </c>
      <c r="V12" s="77" t="str">
        <f t="shared" si="15"/>
        <v>N/A</v>
      </c>
      <c r="W12" s="77" t="str">
        <f t="shared" si="15"/>
        <v>N/A</v>
      </c>
      <c r="X12" s="77" t="str">
        <f t="shared" si="15"/>
        <v>N/A</v>
      </c>
      <c r="Y12" s="77" t="str">
        <f t="shared" si="15"/>
        <v>N/A</v>
      </c>
      <c r="Z12" s="77" t="str">
        <f t="shared" si="15"/>
        <v>N/A</v>
      </c>
      <c r="AA12" s="77" t="str">
        <f t="shared" si="15"/>
        <v>N/A</v>
      </c>
      <c r="AB12" s="77" t="str">
        <f t="shared" si="15"/>
        <v>N/A</v>
      </c>
      <c r="AC12" s="74" t="str">
        <f>IF(E12&lt;'Config  Metas'!$B$2,"🚨 REVISAR HORARIO O SCRIPT",IF(G12&lt;'Config  Metas'!$B$3,"🚨 GUIÓN DÉBIL EN APERTURA",IF(I12&lt;'Config  Metas'!$B$4,"⚠️ FALTA CONFIRMACIÓN PRE-REUNIÓN",IF(K12&lt;'Config  Metas'!$B$5,"🚨 SIN CIERRES DE PRUEBA",IF(M12&lt;'Config  Metas'!$B$6,"🚨 OBJECIONES NO RESUELTAS",IF(N12&lt;'Config  Metas'!$B$7,"🔻 BAJO PISO SEMANAL",IF(AND(E12&gt;='Config  Metas'!$B$2,G12&gt;='Config  Metas'!$B$3,I12&gt;='Config  Metas'!$B$4,K12&gt;='Config  Metas'!$B$5,M12&gt;='Config  Metas'!$B$6,N12&gt;='Config  Metas'!$B$7),"✅ RENDIMIENTO SOBRE META","✅ ESTABLE")))))))</f>
        <v>🚨 REVISAR HORARIO O SCRIPT</v>
      </c>
    </row>
    <row r="13">
      <c r="A13" s="74" t="s">
        <v>135</v>
      </c>
      <c r="B13" s="74">
        <f>SUMIF('Carga Diaria'!$B:$B,$A13,'Carga Diaria'!$D:$D)</f>
        <v>0</v>
      </c>
      <c r="C13" s="74">
        <f>SUMIF('Carga Diaria'!$B:$B,$A13,'Carga Diaria'!$E:$E)</f>
        <v>0</v>
      </c>
      <c r="D13" s="74">
        <f>SUMIF('Carga Diaria'!$B:$B,$A13,'Carga Diaria'!$F:$F)</f>
        <v>0</v>
      </c>
      <c r="E13" s="75">
        <f t="shared" si="1"/>
        <v>0</v>
      </c>
      <c r="F13" s="74">
        <f>SUMIF('Carga Diaria'!$B:$B,$A13,'Carga Diaria'!$H:$H)</f>
        <v>0</v>
      </c>
      <c r="G13" s="75">
        <f t="shared" si="2"/>
        <v>0</v>
      </c>
      <c r="H13" s="74">
        <f>SUMIF('Carga Diaria'!$B:$B,$A13,'Carga Diaria'!$J:$J)</f>
        <v>0</v>
      </c>
      <c r="I13" s="75">
        <f t="shared" si="3"/>
        <v>0</v>
      </c>
      <c r="J13" s="74">
        <f>SUMIF('Carga Diaria'!$B:$B,$A13,'Carga Diaria'!$L:$L)</f>
        <v>0</v>
      </c>
      <c r="K13" s="75">
        <f t="shared" si="4"/>
        <v>0</v>
      </c>
      <c r="L13" s="74">
        <f>SUMIF('Carga Diaria'!$B:$B,$A13,'Carga Diaria'!$N:$N)</f>
        <v>0</v>
      </c>
      <c r="M13" s="75">
        <f t="shared" si="5"/>
        <v>0</v>
      </c>
      <c r="N13" s="74">
        <f>SUMIF('Carga Diaria'!$B:$B,$A13,'Carga Diaria'!$P:$P)</f>
        <v>0</v>
      </c>
      <c r="O13" s="76">
        <f>N13*'Config  Metas'!$B$10</f>
        <v>0</v>
      </c>
      <c r="P13" s="77" t="str">
        <f t="shared" ref="P13:AB13" si="16">IF(C12=0,"N/A",(C13-C12)/C12)</f>
        <v>N/A</v>
      </c>
      <c r="Q13" s="77" t="str">
        <f t="shared" si="16"/>
        <v>N/A</v>
      </c>
      <c r="R13" s="77" t="str">
        <f t="shared" si="16"/>
        <v>N/A</v>
      </c>
      <c r="S13" s="77" t="str">
        <f t="shared" si="16"/>
        <v>N/A</v>
      </c>
      <c r="T13" s="77" t="str">
        <f t="shared" si="16"/>
        <v>N/A</v>
      </c>
      <c r="U13" s="77" t="str">
        <f t="shared" si="16"/>
        <v>N/A</v>
      </c>
      <c r="V13" s="77" t="str">
        <f t="shared" si="16"/>
        <v>N/A</v>
      </c>
      <c r="W13" s="77" t="str">
        <f t="shared" si="16"/>
        <v>N/A</v>
      </c>
      <c r="X13" s="77" t="str">
        <f t="shared" si="16"/>
        <v>N/A</v>
      </c>
      <c r="Y13" s="77" t="str">
        <f t="shared" si="16"/>
        <v>N/A</v>
      </c>
      <c r="Z13" s="77" t="str">
        <f t="shared" si="16"/>
        <v>N/A</v>
      </c>
      <c r="AA13" s="77" t="str">
        <f t="shared" si="16"/>
        <v>N/A</v>
      </c>
      <c r="AB13" s="77" t="str">
        <f t="shared" si="16"/>
        <v>N/A</v>
      </c>
      <c r="AC13" s="74" t="str">
        <f>IF(E13&lt;'Config  Metas'!$B$2,"🚨 REVISAR HORARIO O SCRIPT",IF(G13&lt;'Config  Metas'!$B$3,"🚨 GUIÓN DÉBIL EN APERTURA",IF(I13&lt;'Config  Metas'!$B$4,"⚠️ FALTA CONFIRMACIÓN PRE-REUNIÓN",IF(K13&lt;'Config  Metas'!$B$5,"🚨 SIN CIERRES DE PRUEBA",IF(M13&lt;'Config  Metas'!$B$6,"🚨 OBJECIONES NO RESUELTAS",IF(N13&lt;'Config  Metas'!$B$7,"🔻 BAJO PISO SEMANAL",IF(AND(E13&gt;='Config  Metas'!$B$2,G13&gt;='Config  Metas'!$B$3,I13&gt;='Config  Metas'!$B$4,K13&gt;='Config  Metas'!$B$5,M13&gt;='Config  Metas'!$B$6,N13&gt;='Config  Metas'!$B$7),"✅ RENDIMIENTO SOBRE META","✅ ESTABLE")))))))</f>
        <v>🚨 REVISAR HORARIO O SCRIPT</v>
      </c>
    </row>
    <row r="14">
      <c r="A14" s="74" t="s">
        <v>136</v>
      </c>
      <c r="B14" s="74">
        <f>SUMIF('Carga Diaria'!$B:$B,$A14,'Carga Diaria'!$D:$D)</f>
        <v>0</v>
      </c>
      <c r="C14" s="74">
        <f>SUMIF('Carga Diaria'!$B:$B,$A14,'Carga Diaria'!$E:$E)</f>
        <v>0</v>
      </c>
      <c r="D14" s="74">
        <f>SUMIF('Carga Diaria'!$B:$B,$A14,'Carga Diaria'!$F:$F)</f>
        <v>0</v>
      </c>
      <c r="E14" s="75">
        <f t="shared" si="1"/>
        <v>0</v>
      </c>
      <c r="F14" s="74">
        <f>SUMIF('Carga Diaria'!$B:$B,$A14,'Carga Diaria'!$H:$H)</f>
        <v>0</v>
      </c>
      <c r="G14" s="75">
        <f t="shared" si="2"/>
        <v>0</v>
      </c>
      <c r="H14" s="74">
        <f>SUMIF('Carga Diaria'!$B:$B,$A14,'Carga Diaria'!$J:$J)</f>
        <v>0</v>
      </c>
      <c r="I14" s="75">
        <f t="shared" si="3"/>
        <v>0</v>
      </c>
      <c r="J14" s="74">
        <f>SUMIF('Carga Diaria'!$B:$B,$A14,'Carga Diaria'!$L:$L)</f>
        <v>0</v>
      </c>
      <c r="K14" s="75">
        <f t="shared" si="4"/>
        <v>0</v>
      </c>
      <c r="L14" s="74">
        <f>SUMIF('Carga Diaria'!$B:$B,$A14,'Carga Diaria'!$N:$N)</f>
        <v>0</v>
      </c>
      <c r="M14" s="75">
        <f t="shared" si="5"/>
        <v>0</v>
      </c>
      <c r="N14" s="74">
        <f>SUMIF('Carga Diaria'!$B:$B,$A14,'Carga Diaria'!$P:$P)</f>
        <v>0</v>
      </c>
      <c r="O14" s="76">
        <f>N14*'Config  Metas'!$B$10</f>
        <v>0</v>
      </c>
      <c r="P14" s="77" t="str">
        <f t="shared" ref="P14:AB14" si="17">IF(C13=0,"N/A",(C14-C13)/C13)</f>
        <v>N/A</v>
      </c>
      <c r="Q14" s="77" t="str">
        <f t="shared" si="17"/>
        <v>N/A</v>
      </c>
      <c r="R14" s="77" t="str">
        <f t="shared" si="17"/>
        <v>N/A</v>
      </c>
      <c r="S14" s="77" t="str">
        <f t="shared" si="17"/>
        <v>N/A</v>
      </c>
      <c r="T14" s="77" t="str">
        <f t="shared" si="17"/>
        <v>N/A</v>
      </c>
      <c r="U14" s="77" t="str">
        <f t="shared" si="17"/>
        <v>N/A</v>
      </c>
      <c r="V14" s="77" t="str">
        <f t="shared" si="17"/>
        <v>N/A</v>
      </c>
      <c r="W14" s="77" t="str">
        <f t="shared" si="17"/>
        <v>N/A</v>
      </c>
      <c r="X14" s="77" t="str">
        <f t="shared" si="17"/>
        <v>N/A</v>
      </c>
      <c r="Y14" s="77" t="str">
        <f t="shared" si="17"/>
        <v>N/A</v>
      </c>
      <c r="Z14" s="77" t="str">
        <f t="shared" si="17"/>
        <v>N/A</v>
      </c>
      <c r="AA14" s="77" t="str">
        <f t="shared" si="17"/>
        <v>N/A</v>
      </c>
      <c r="AB14" s="77" t="str">
        <f t="shared" si="17"/>
        <v>N/A</v>
      </c>
      <c r="AC14" s="74" t="str">
        <f>IF(E14&lt;'Config  Metas'!$B$2,"🚨 REVISAR HORARIO O SCRIPT",IF(G14&lt;'Config  Metas'!$B$3,"🚨 GUIÓN DÉBIL EN APERTURA",IF(I14&lt;'Config  Metas'!$B$4,"⚠️ FALTA CONFIRMACIÓN PRE-REUNIÓN",IF(K14&lt;'Config  Metas'!$B$5,"🚨 SIN CIERRES DE PRUEBA",IF(M14&lt;'Config  Metas'!$B$6,"🚨 OBJECIONES NO RESUELTAS",IF(N14&lt;'Config  Metas'!$B$7,"🔻 BAJO PISO SEMANAL",IF(AND(E14&gt;='Config  Metas'!$B$2,G14&gt;='Config  Metas'!$B$3,I14&gt;='Config  Metas'!$B$4,K14&gt;='Config  Metas'!$B$5,M14&gt;='Config  Metas'!$B$6,N14&gt;='Config  Metas'!$B$7),"✅ RENDIMIENTO SOBRE META","✅ ESTABLE")))))))</f>
        <v>🚨 REVISAR HORARIO O SCRIPT</v>
      </c>
    </row>
    <row r="15">
      <c r="A15" s="74" t="s">
        <v>137</v>
      </c>
      <c r="B15" s="74">
        <f>SUMIF('Carga Diaria'!$B:$B,$A15,'Carga Diaria'!$D:$D)</f>
        <v>0</v>
      </c>
      <c r="C15" s="74">
        <f>SUMIF('Carga Diaria'!$B:$B,$A15,'Carga Diaria'!$E:$E)</f>
        <v>0</v>
      </c>
      <c r="D15" s="74">
        <f>SUMIF('Carga Diaria'!$B:$B,$A15,'Carga Diaria'!$F:$F)</f>
        <v>0</v>
      </c>
      <c r="E15" s="75">
        <f t="shared" si="1"/>
        <v>0</v>
      </c>
      <c r="F15" s="74">
        <f>SUMIF('Carga Diaria'!$B:$B,$A15,'Carga Diaria'!$H:$H)</f>
        <v>0</v>
      </c>
      <c r="G15" s="75">
        <f t="shared" si="2"/>
        <v>0</v>
      </c>
      <c r="H15" s="74">
        <f>SUMIF('Carga Diaria'!$B:$B,$A15,'Carga Diaria'!$J:$J)</f>
        <v>0</v>
      </c>
      <c r="I15" s="75">
        <f t="shared" si="3"/>
        <v>0</v>
      </c>
      <c r="J15" s="74">
        <f>SUMIF('Carga Diaria'!$B:$B,$A15,'Carga Diaria'!$L:$L)</f>
        <v>0</v>
      </c>
      <c r="K15" s="75">
        <f t="shared" si="4"/>
        <v>0</v>
      </c>
      <c r="L15" s="74">
        <f>SUMIF('Carga Diaria'!$B:$B,$A15,'Carga Diaria'!$N:$N)</f>
        <v>0</v>
      </c>
      <c r="M15" s="75">
        <f t="shared" si="5"/>
        <v>0</v>
      </c>
      <c r="N15" s="74">
        <f>SUMIF('Carga Diaria'!$B:$B,$A15,'Carga Diaria'!$P:$P)</f>
        <v>0</v>
      </c>
      <c r="O15" s="76">
        <f>N15*'Config  Metas'!$B$10</f>
        <v>0</v>
      </c>
      <c r="P15" s="77" t="str">
        <f t="shared" ref="P15:AB15" si="18">IF(C14=0,"N/A",(C15-C14)/C14)</f>
        <v>N/A</v>
      </c>
      <c r="Q15" s="77" t="str">
        <f t="shared" si="18"/>
        <v>N/A</v>
      </c>
      <c r="R15" s="77" t="str">
        <f t="shared" si="18"/>
        <v>N/A</v>
      </c>
      <c r="S15" s="77" t="str">
        <f t="shared" si="18"/>
        <v>N/A</v>
      </c>
      <c r="T15" s="77" t="str">
        <f t="shared" si="18"/>
        <v>N/A</v>
      </c>
      <c r="U15" s="77" t="str">
        <f t="shared" si="18"/>
        <v>N/A</v>
      </c>
      <c r="V15" s="77" t="str">
        <f t="shared" si="18"/>
        <v>N/A</v>
      </c>
      <c r="W15" s="77" t="str">
        <f t="shared" si="18"/>
        <v>N/A</v>
      </c>
      <c r="X15" s="77" t="str">
        <f t="shared" si="18"/>
        <v>N/A</v>
      </c>
      <c r="Y15" s="77" t="str">
        <f t="shared" si="18"/>
        <v>N/A</v>
      </c>
      <c r="Z15" s="77" t="str">
        <f t="shared" si="18"/>
        <v>N/A</v>
      </c>
      <c r="AA15" s="77" t="str">
        <f t="shared" si="18"/>
        <v>N/A</v>
      </c>
      <c r="AB15" s="77" t="str">
        <f t="shared" si="18"/>
        <v>N/A</v>
      </c>
      <c r="AC15" s="74" t="str">
        <f>IF(E15&lt;'Config  Metas'!$B$2,"🚨 REVISAR HORARIO O SCRIPT",IF(G15&lt;'Config  Metas'!$B$3,"🚨 GUIÓN DÉBIL EN APERTURA",IF(I15&lt;'Config  Metas'!$B$4,"⚠️ FALTA CONFIRMACIÓN PRE-REUNIÓN",IF(K15&lt;'Config  Metas'!$B$5,"🚨 SIN CIERRES DE PRUEBA",IF(M15&lt;'Config  Metas'!$B$6,"🚨 OBJECIONES NO RESUELTAS",IF(N15&lt;'Config  Metas'!$B$7,"🔻 BAJO PISO SEMANAL",IF(AND(E15&gt;='Config  Metas'!$B$2,G15&gt;='Config  Metas'!$B$3,I15&gt;='Config  Metas'!$B$4,K15&gt;='Config  Metas'!$B$5,M15&gt;='Config  Metas'!$B$6,N15&gt;='Config  Metas'!$B$7),"✅ RENDIMIENTO SOBRE META","✅ ESTABLE")))))))</f>
        <v>🚨 REVISAR HORARIO O SCRIPT</v>
      </c>
    </row>
    <row r="16">
      <c r="A16" s="74" t="s">
        <v>138</v>
      </c>
      <c r="B16" s="74">
        <f>SUMIF('Carga Diaria'!$B:$B,$A16,'Carga Diaria'!$D:$D)</f>
        <v>0</v>
      </c>
      <c r="C16" s="74">
        <f>SUMIF('Carga Diaria'!$B:$B,$A16,'Carga Diaria'!$E:$E)</f>
        <v>0</v>
      </c>
      <c r="D16" s="74">
        <f>SUMIF('Carga Diaria'!$B:$B,$A16,'Carga Diaria'!$F:$F)</f>
        <v>0</v>
      </c>
      <c r="E16" s="75">
        <f t="shared" si="1"/>
        <v>0</v>
      </c>
      <c r="F16" s="74">
        <f>SUMIF('Carga Diaria'!$B:$B,$A16,'Carga Diaria'!$H:$H)</f>
        <v>0</v>
      </c>
      <c r="G16" s="75">
        <f t="shared" si="2"/>
        <v>0</v>
      </c>
      <c r="H16" s="74">
        <f>SUMIF('Carga Diaria'!$B:$B,$A16,'Carga Diaria'!$J:$J)</f>
        <v>0</v>
      </c>
      <c r="I16" s="75">
        <f t="shared" si="3"/>
        <v>0</v>
      </c>
      <c r="J16" s="74">
        <f>SUMIF('Carga Diaria'!$B:$B,$A16,'Carga Diaria'!$L:$L)</f>
        <v>0</v>
      </c>
      <c r="K16" s="75">
        <f t="shared" si="4"/>
        <v>0</v>
      </c>
      <c r="L16" s="74">
        <f>SUMIF('Carga Diaria'!$B:$B,$A16,'Carga Diaria'!$N:$N)</f>
        <v>0</v>
      </c>
      <c r="M16" s="75">
        <f t="shared" si="5"/>
        <v>0</v>
      </c>
      <c r="N16" s="74">
        <f>SUMIF('Carga Diaria'!$B:$B,$A16,'Carga Diaria'!$P:$P)</f>
        <v>0</v>
      </c>
      <c r="O16" s="76">
        <f>N16*'Config  Metas'!$B$10</f>
        <v>0</v>
      </c>
      <c r="P16" s="77" t="str">
        <f t="shared" ref="P16:AB16" si="19">IF(C15=0,"N/A",(C16-C15)/C15)</f>
        <v>N/A</v>
      </c>
      <c r="Q16" s="77" t="str">
        <f t="shared" si="19"/>
        <v>N/A</v>
      </c>
      <c r="R16" s="77" t="str">
        <f t="shared" si="19"/>
        <v>N/A</v>
      </c>
      <c r="S16" s="77" t="str">
        <f t="shared" si="19"/>
        <v>N/A</v>
      </c>
      <c r="T16" s="77" t="str">
        <f t="shared" si="19"/>
        <v>N/A</v>
      </c>
      <c r="U16" s="77" t="str">
        <f t="shared" si="19"/>
        <v>N/A</v>
      </c>
      <c r="V16" s="77" t="str">
        <f t="shared" si="19"/>
        <v>N/A</v>
      </c>
      <c r="W16" s="77" t="str">
        <f t="shared" si="19"/>
        <v>N/A</v>
      </c>
      <c r="X16" s="77" t="str">
        <f t="shared" si="19"/>
        <v>N/A</v>
      </c>
      <c r="Y16" s="77" t="str">
        <f t="shared" si="19"/>
        <v>N/A</v>
      </c>
      <c r="Z16" s="77" t="str">
        <f t="shared" si="19"/>
        <v>N/A</v>
      </c>
      <c r="AA16" s="77" t="str">
        <f t="shared" si="19"/>
        <v>N/A</v>
      </c>
      <c r="AB16" s="77" t="str">
        <f t="shared" si="19"/>
        <v>N/A</v>
      </c>
      <c r="AC16" s="74" t="str">
        <f>IF(E16&lt;'Config  Metas'!$B$2,"🚨 REVISAR HORARIO O SCRIPT",IF(G16&lt;'Config  Metas'!$B$3,"🚨 GUIÓN DÉBIL EN APERTURA",IF(I16&lt;'Config  Metas'!$B$4,"⚠️ FALTA CONFIRMACIÓN PRE-REUNIÓN",IF(K16&lt;'Config  Metas'!$B$5,"🚨 SIN CIERRES DE PRUEBA",IF(M16&lt;'Config  Metas'!$B$6,"🚨 OBJECIONES NO RESUELTAS",IF(N16&lt;'Config  Metas'!$B$7,"🔻 BAJO PISO SEMANAL",IF(AND(E16&gt;='Config  Metas'!$B$2,G16&gt;='Config  Metas'!$B$3,I16&gt;='Config  Metas'!$B$4,K16&gt;='Config  Metas'!$B$5,M16&gt;='Config  Metas'!$B$6,N16&gt;='Config  Metas'!$B$7),"✅ RENDIMIENTO SOBRE META","✅ ESTABLE")))))))</f>
        <v>🚨 REVISAR HORARIO O SCRIPT</v>
      </c>
    </row>
    <row r="17">
      <c r="A17" s="74" t="s">
        <v>139</v>
      </c>
      <c r="B17" s="74">
        <f>SUMIF('Carga Diaria'!$B:$B,$A17,'Carga Diaria'!$D:$D)</f>
        <v>0</v>
      </c>
      <c r="C17" s="74">
        <f>SUMIF('Carga Diaria'!$B:$B,$A17,'Carga Diaria'!$E:$E)</f>
        <v>0</v>
      </c>
      <c r="D17" s="74">
        <f>SUMIF('Carga Diaria'!$B:$B,$A17,'Carga Diaria'!$F:$F)</f>
        <v>0</v>
      </c>
      <c r="E17" s="75">
        <f t="shared" si="1"/>
        <v>0</v>
      </c>
      <c r="F17" s="74">
        <f>SUMIF('Carga Diaria'!$B:$B,$A17,'Carga Diaria'!$H:$H)</f>
        <v>0</v>
      </c>
      <c r="G17" s="75">
        <f t="shared" si="2"/>
        <v>0</v>
      </c>
      <c r="H17" s="74">
        <f>SUMIF('Carga Diaria'!$B:$B,$A17,'Carga Diaria'!$J:$J)</f>
        <v>0</v>
      </c>
      <c r="I17" s="75">
        <f t="shared" si="3"/>
        <v>0</v>
      </c>
      <c r="J17" s="74">
        <f>SUMIF('Carga Diaria'!$B:$B,$A17,'Carga Diaria'!$L:$L)</f>
        <v>0</v>
      </c>
      <c r="K17" s="75">
        <f t="shared" si="4"/>
        <v>0</v>
      </c>
      <c r="L17" s="74">
        <f>SUMIF('Carga Diaria'!$B:$B,$A17,'Carga Diaria'!$N:$N)</f>
        <v>0</v>
      </c>
      <c r="M17" s="75">
        <f t="shared" si="5"/>
        <v>0</v>
      </c>
      <c r="N17" s="74">
        <f>SUMIF('Carga Diaria'!$B:$B,$A17,'Carga Diaria'!$P:$P)</f>
        <v>0</v>
      </c>
      <c r="O17" s="76">
        <f>N17*'Config  Metas'!$B$10</f>
        <v>0</v>
      </c>
      <c r="P17" s="77" t="str">
        <f t="shared" ref="P17:AB17" si="20">IF(C16=0,"N/A",(C17-C16)/C16)</f>
        <v>N/A</v>
      </c>
      <c r="Q17" s="77" t="str">
        <f t="shared" si="20"/>
        <v>N/A</v>
      </c>
      <c r="R17" s="77" t="str">
        <f t="shared" si="20"/>
        <v>N/A</v>
      </c>
      <c r="S17" s="77" t="str">
        <f t="shared" si="20"/>
        <v>N/A</v>
      </c>
      <c r="T17" s="77" t="str">
        <f t="shared" si="20"/>
        <v>N/A</v>
      </c>
      <c r="U17" s="77" t="str">
        <f t="shared" si="20"/>
        <v>N/A</v>
      </c>
      <c r="V17" s="77" t="str">
        <f t="shared" si="20"/>
        <v>N/A</v>
      </c>
      <c r="W17" s="77" t="str">
        <f t="shared" si="20"/>
        <v>N/A</v>
      </c>
      <c r="X17" s="77" t="str">
        <f t="shared" si="20"/>
        <v>N/A</v>
      </c>
      <c r="Y17" s="77" t="str">
        <f t="shared" si="20"/>
        <v>N/A</v>
      </c>
      <c r="Z17" s="77" t="str">
        <f t="shared" si="20"/>
        <v>N/A</v>
      </c>
      <c r="AA17" s="77" t="str">
        <f t="shared" si="20"/>
        <v>N/A</v>
      </c>
      <c r="AB17" s="77" t="str">
        <f t="shared" si="20"/>
        <v>N/A</v>
      </c>
      <c r="AC17" s="74" t="str">
        <f>IF(E17&lt;'Config  Metas'!$B$2,"🚨 REVISAR HORARIO O SCRIPT",IF(G17&lt;'Config  Metas'!$B$3,"🚨 GUIÓN DÉBIL EN APERTURA",IF(I17&lt;'Config  Metas'!$B$4,"⚠️ FALTA CONFIRMACIÓN PRE-REUNIÓN",IF(K17&lt;'Config  Metas'!$B$5,"🚨 SIN CIERRES DE PRUEBA",IF(M17&lt;'Config  Metas'!$B$6,"🚨 OBJECIONES NO RESUELTAS",IF(N17&lt;'Config  Metas'!$B$7,"🔻 BAJO PISO SEMANAL",IF(AND(E17&gt;='Config  Metas'!$B$2,G17&gt;='Config  Metas'!$B$3,I17&gt;='Config  Metas'!$B$4,K17&gt;='Config  Metas'!$B$5,M17&gt;='Config  Metas'!$B$6,N17&gt;='Config  Metas'!$B$7),"✅ RENDIMIENTO SOBRE META","✅ ESTABLE")))))))</f>
        <v>🚨 REVISAR HORARIO O SCRIPT</v>
      </c>
    </row>
    <row r="18">
      <c r="A18" s="74" t="s">
        <v>140</v>
      </c>
      <c r="B18" s="74">
        <f>SUMIF('Carga Diaria'!$B:$B,$A18,'Carga Diaria'!$D:$D)</f>
        <v>0</v>
      </c>
      <c r="C18" s="74">
        <f>SUMIF('Carga Diaria'!$B:$B,$A18,'Carga Diaria'!$E:$E)</f>
        <v>0</v>
      </c>
      <c r="D18" s="74">
        <f>SUMIF('Carga Diaria'!$B:$B,$A18,'Carga Diaria'!$F:$F)</f>
        <v>0</v>
      </c>
      <c r="E18" s="75">
        <f t="shared" si="1"/>
        <v>0</v>
      </c>
      <c r="F18" s="74">
        <f>SUMIF('Carga Diaria'!$B:$B,$A18,'Carga Diaria'!$H:$H)</f>
        <v>0</v>
      </c>
      <c r="G18" s="75">
        <f t="shared" si="2"/>
        <v>0</v>
      </c>
      <c r="H18" s="74">
        <f>SUMIF('Carga Diaria'!$B:$B,$A18,'Carga Diaria'!$J:$J)</f>
        <v>0</v>
      </c>
      <c r="I18" s="75">
        <f t="shared" si="3"/>
        <v>0</v>
      </c>
      <c r="J18" s="74">
        <f>SUMIF('Carga Diaria'!$B:$B,$A18,'Carga Diaria'!$L:$L)</f>
        <v>0</v>
      </c>
      <c r="K18" s="75">
        <f t="shared" si="4"/>
        <v>0</v>
      </c>
      <c r="L18" s="74">
        <f>SUMIF('Carga Diaria'!$B:$B,$A18,'Carga Diaria'!$N:$N)</f>
        <v>0</v>
      </c>
      <c r="M18" s="75">
        <f t="shared" si="5"/>
        <v>0</v>
      </c>
      <c r="N18" s="74">
        <f>SUMIF('Carga Diaria'!$B:$B,$A18,'Carga Diaria'!$P:$P)</f>
        <v>0</v>
      </c>
      <c r="O18" s="76">
        <f>N18*'Config  Metas'!$B$10</f>
        <v>0</v>
      </c>
      <c r="P18" s="77" t="str">
        <f t="shared" ref="P18:AB18" si="21">IF(C17=0,"N/A",(C18-C17)/C17)</f>
        <v>N/A</v>
      </c>
      <c r="Q18" s="77" t="str">
        <f t="shared" si="21"/>
        <v>N/A</v>
      </c>
      <c r="R18" s="77" t="str">
        <f t="shared" si="21"/>
        <v>N/A</v>
      </c>
      <c r="S18" s="77" t="str">
        <f t="shared" si="21"/>
        <v>N/A</v>
      </c>
      <c r="T18" s="77" t="str">
        <f t="shared" si="21"/>
        <v>N/A</v>
      </c>
      <c r="U18" s="77" t="str">
        <f t="shared" si="21"/>
        <v>N/A</v>
      </c>
      <c r="V18" s="77" t="str">
        <f t="shared" si="21"/>
        <v>N/A</v>
      </c>
      <c r="W18" s="77" t="str">
        <f t="shared" si="21"/>
        <v>N/A</v>
      </c>
      <c r="X18" s="77" t="str">
        <f t="shared" si="21"/>
        <v>N/A</v>
      </c>
      <c r="Y18" s="77" t="str">
        <f t="shared" si="21"/>
        <v>N/A</v>
      </c>
      <c r="Z18" s="77" t="str">
        <f t="shared" si="21"/>
        <v>N/A</v>
      </c>
      <c r="AA18" s="77" t="str">
        <f t="shared" si="21"/>
        <v>N/A</v>
      </c>
      <c r="AB18" s="77" t="str">
        <f t="shared" si="21"/>
        <v>N/A</v>
      </c>
      <c r="AC18" s="74" t="str">
        <f>IF(E18&lt;'Config  Metas'!$B$2,"🚨 REVISAR HORARIO O SCRIPT",IF(G18&lt;'Config  Metas'!$B$3,"🚨 GUIÓN DÉBIL EN APERTURA",IF(I18&lt;'Config  Metas'!$B$4,"⚠️ FALTA CONFIRMACIÓN PRE-REUNIÓN",IF(K18&lt;'Config  Metas'!$B$5,"🚨 SIN CIERRES DE PRUEBA",IF(M18&lt;'Config  Metas'!$B$6,"🚨 OBJECIONES NO RESUELTAS",IF(N18&lt;'Config  Metas'!$B$7,"🔻 BAJO PISO SEMANAL",IF(AND(E18&gt;='Config  Metas'!$B$2,G18&gt;='Config  Metas'!$B$3,I18&gt;='Config  Metas'!$B$4,K18&gt;='Config  Metas'!$B$5,M18&gt;='Config  Metas'!$B$6,N18&gt;='Config  Metas'!$B$7),"✅ RENDIMIENTO SOBRE META","✅ ESTABLE")))))))</f>
        <v>🚨 REVISAR HORARIO O SCRIPT</v>
      </c>
    </row>
    <row r="19">
      <c r="A19" s="74" t="s">
        <v>141</v>
      </c>
      <c r="B19" s="74">
        <f>SUMIF('Carga Diaria'!$B:$B,$A19,'Carga Diaria'!$D:$D)</f>
        <v>0</v>
      </c>
      <c r="C19" s="74">
        <f>SUMIF('Carga Diaria'!$B:$B,$A19,'Carga Diaria'!$E:$E)</f>
        <v>0</v>
      </c>
      <c r="D19" s="74">
        <f>SUMIF('Carga Diaria'!$B:$B,$A19,'Carga Diaria'!$F:$F)</f>
        <v>0</v>
      </c>
      <c r="E19" s="75">
        <f t="shared" si="1"/>
        <v>0</v>
      </c>
      <c r="F19" s="74">
        <f>SUMIF('Carga Diaria'!$B:$B,$A19,'Carga Diaria'!$H:$H)</f>
        <v>0</v>
      </c>
      <c r="G19" s="75">
        <f t="shared" si="2"/>
        <v>0</v>
      </c>
      <c r="H19" s="74">
        <f>SUMIF('Carga Diaria'!$B:$B,$A19,'Carga Diaria'!$J:$J)</f>
        <v>0</v>
      </c>
      <c r="I19" s="75">
        <f t="shared" si="3"/>
        <v>0</v>
      </c>
      <c r="J19" s="74">
        <f>SUMIF('Carga Diaria'!$B:$B,$A19,'Carga Diaria'!$L:$L)</f>
        <v>0</v>
      </c>
      <c r="K19" s="75">
        <f t="shared" si="4"/>
        <v>0</v>
      </c>
      <c r="L19" s="74">
        <f>SUMIF('Carga Diaria'!$B:$B,$A19,'Carga Diaria'!$N:$N)</f>
        <v>0</v>
      </c>
      <c r="M19" s="75">
        <f t="shared" si="5"/>
        <v>0</v>
      </c>
      <c r="N19" s="74">
        <f>SUMIF('Carga Diaria'!$B:$B,$A19,'Carga Diaria'!$P:$P)</f>
        <v>0</v>
      </c>
      <c r="O19" s="76">
        <f>N19*'Config  Metas'!$B$10</f>
        <v>0</v>
      </c>
      <c r="P19" s="77" t="str">
        <f t="shared" ref="P19:AB19" si="22">IF(C18=0,"N/A",(C19-C18)/C18)</f>
        <v>N/A</v>
      </c>
      <c r="Q19" s="77" t="str">
        <f t="shared" si="22"/>
        <v>N/A</v>
      </c>
      <c r="R19" s="77" t="str">
        <f t="shared" si="22"/>
        <v>N/A</v>
      </c>
      <c r="S19" s="77" t="str">
        <f t="shared" si="22"/>
        <v>N/A</v>
      </c>
      <c r="T19" s="77" t="str">
        <f t="shared" si="22"/>
        <v>N/A</v>
      </c>
      <c r="U19" s="77" t="str">
        <f t="shared" si="22"/>
        <v>N/A</v>
      </c>
      <c r="V19" s="77" t="str">
        <f t="shared" si="22"/>
        <v>N/A</v>
      </c>
      <c r="W19" s="77" t="str">
        <f t="shared" si="22"/>
        <v>N/A</v>
      </c>
      <c r="X19" s="77" t="str">
        <f t="shared" si="22"/>
        <v>N/A</v>
      </c>
      <c r="Y19" s="77" t="str">
        <f t="shared" si="22"/>
        <v>N/A</v>
      </c>
      <c r="Z19" s="77" t="str">
        <f t="shared" si="22"/>
        <v>N/A</v>
      </c>
      <c r="AA19" s="77" t="str">
        <f t="shared" si="22"/>
        <v>N/A</v>
      </c>
      <c r="AB19" s="77" t="str">
        <f t="shared" si="22"/>
        <v>N/A</v>
      </c>
      <c r="AC19" s="74" t="str">
        <f>IF(E19&lt;'Config  Metas'!$B$2,"🚨 REVISAR HORARIO O SCRIPT",IF(G19&lt;'Config  Metas'!$B$3,"🚨 GUIÓN DÉBIL EN APERTURA",IF(I19&lt;'Config  Metas'!$B$4,"⚠️ FALTA CONFIRMACIÓN PRE-REUNIÓN",IF(K19&lt;'Config  Metas'!$B$5,"🚨 SIN CIERRES DE PRUEBA",IF(M19&lt;'Config  Metas'!$B$6,"🚨 OBJECIONES NO RESUELTAS",IF(N19&lt;'Config  Metas'!$B$7,"🔻 BAJO PISO SEMANAL",IF(AND(E19&gt;='Config  Metas'!$B$2,G19&gt;='Config  Metas'!$B$3,I19&gt;='Config  Metas'!$B$4,K19&gt;='Config  Metas'!$B$5,M19&gt;='Config  Metas'!$B$6,N19&gt;='Config  Metas'!$B$7),"✅ RENDIMIENTO SOBRE META","✅ ESTABLE")))))))</f>
        <v>🚨 REVISAR HORARIO O SCRIPT</v>
      </c>
    </row>
    <row r="20">
      <c r="A20" s="74" t="s">
        <v>142</v>
      </c>
      <c r="B20" s="74">
        <f>SUMIF('Carga Diaria'!$B:$B,$A20,'Carga Diaria'!$D:$D)</f>
        <v>0</v>
      </c>
      <c r="C20" s="74">
        <f>SUMIF('Carga Diaria'!$B:$B,$A20,'Carga Diaria'!$E:$E)</f>
        <v>0</v>
      </c>
      <c r="D20" s="74">
        <f>SUMIF('Carga Diaria'!$B:$B,$A20,'Carga Diaria'!$F:$F)</f>
        <v>0</v>
      </c>
      <c r="E20" s="75">
        <f t="shared" si="1"/>
        <v>0</v>
      </c>
      <c r="F20" s="74">
        <f>SUMIF('Carga Diaria'!$B:$B,$A20,'Carga Diaria'!$H:$H)</f>
        <v>0</v>
      </c>
      <c r="G20" s="75">
        <f t="shared" si="2"/>
        <v>0</v>
      </c>
      <c r="H20" s="74">
        <f>SUMIF('Carga Diaria'!$B:$B,$A20,'Carga Diaria'!$J:$J)</f>
        <v>0</v>
      </c>
      <c r="I20" s="75">
        <f t="shared" si="3"/>
        <v>0</v>
      </c>
      <c r="J20" s="74">
        <f>SUMIF('Carga Diaria'!$B:$B,$A20,'Carga Diaria'!$L:$L)</f>
        <v>0</v>
      </c>
      <c r="K20" s="75">
        <f t="shared" si="4"/>
        <v>0</v>
      </c>
      <c r="L20" s="74">
        <f>SUMIF('Carga Diaria'!$B:$B,$A20,'Carga Diaria'!$N:$N)</f>
        <v>0</v>
      </c>
      <c r="M20" s="75">
        <f t="shared" si="5"/>
        <v>0</v>
      </c>
      <c r="N20" s="74">
        <f>SUMIF('Carga Diaria'!$B:$B,$A20,'Carga Diaria'!$P:$P)</f>
        <v>0</v>
      </c>
      <c r="O20" s="76">
        <f>N20*'Config  Metas'!$B$10</f>
        <v>0</v>
      </c>
      <c r="P20" s="77" t="str">
        <f t="shared" ref="P20:AB20" si="23">IF(C19=0,"N/A",(C20-C19)/C19)</f>
        <v>N/A</v>
      </c>
      <c r="Q20" s="77" t="str">
        <f t="shared" si="23"/>
        <v>N/A</v>
      </c>
      <c r="R20" s="77" t="str">
        <f t="shared" si="23"/>
        <v>N/A</v>
      </c>
      <c r="S20" s="77" t="str">
        <f t="shared" si="23"/>
        <v>N/A</v>
      </c>
      <c r="T20" s="77" t="str">
        <f t="shared" si="23"/>
        <v>N/A</v>
      </c>
      <c r="U20" s="77" t="str">
        <f t="shared" si="23"/>
        <v>N/A</v>
      </c>
      <c r="V20" s="77" t="str">
        <f t="shared" si="23"/>
        <v>N/A</v>
      </c>
      <c r="W20" s="77" t="str">
        <f t="shared" si="23"/>
        <v>N/A</v>
      </c>
      <c r="X20" s="77" t="str">
        <f t="shared" si="23"/>
        <v>N/A</v>
      </c>
      <c r="Y20" s="77" t="str">
        <f t="shared" si="23"/>
        <v>N/A</v>
      </c>
      <c r="Z20" s="77" t="str">
        <f t="shared" si="23"/>
        <v>N/A</v>
      </c>
      <c r="AA20" s="77" t="str">
        <f t="shared" si="23"/>
        <v>N/A</v>
      </c>
      <c r="AB20" s="77" t="str">
        <f t="shared" si="23"/>
        <v>N/A</v>
      </c>
      <c r="AC20" s="74" t="str">
        <f>IF(E20&lt;'Config  Metas'!$B$2,"🚨 REVISAR HORARIO O SCRIPT",IF(G20&lt;'Config  Metas'!$B$3,"🚨 GUIÓN DÉBIL EN APERTURA",IF(I20&lt;'Config  Metas'!$B$4,"⚠️ FALTA CONFIRMACIÓN PRE-REUNIÓN",IF(K20&lt;'Config  Metas'!$B$5,"🚨 SIN CIERRES DE PRUEBA",IF(M20&lt;'Config  Metas'!$B$6,"🚨 OBJECIONES NO RESUELTAS",IF(N20&lt;'Config  Metas'!$B$7,"🔻 BAJO PISO SEMANAL",IF(AND(E20&gt;='Config  Metas'!$B$2,G20&gt;='Config  Metas'!$B$3,I20&gt;='Config  Metas'!$B$4,K20&gt;='Config  Metas'!$B$5,M20&gt;='Config  Metas'!$B$6,N20&gt;='Config  Metas'!$B$7),"✅ RENDIMIENTO SOBRE META","✅ ESTABLE")))))))</f>
        <v>🚨 REVISAR HORARIO O SCRIPT</v>
      </c>
    </row>
    <row r="21" ht="15.75" customHeight="1">
      <c r="A21" s="74" t="s">
        <v>143</v>
      </c>
      <c r="B21" s="74">
        <f>SUMIF('Carga Diaria'!$B:$B,$A21,'Carga Diaria'!$D:$D)</f>
        <v>0</v>
      </c>
      <c r="C21" s="74">
        <f>SUMIF('Carga Diaria'!$B:$B,$A21,'Carga Diaria'!$E:$E)</f>
        <v>0</v>
      </c>
      <c r="D21" s="74">
        <f>SUMIF('Carga Diaria'!$B:$B,$A21,'Carga Diaria'!$F:$F)</f>
        <v>0</v>
      </c>
      <c r="E21" s="75">
        <f t="shared" si="1"/>
        <v>0</v>
      </c>
      <c r="F21" s="74">
        <f>SUMIF('Carga Diaria'!$B:$B,$A21,'Carga Diaria'!$H:$H)</f>
        <v>0</v>
      </c>
      <c r="G21" s="75">
        <f t="shared" si="2"/>
        <v>0</v>
      </c>
      <c r="H21" s="74">
        <f>SUMIF('Carga Diaria'!$B:$B,$A21,'Carga Diaria'!$J:$J)</f>
        <v>0</v>
      </c>
      <c r="I21" s="75">
        <f t="shared" si="3"/>
        <v>0</v>
      </c>
      <c r="J21" s="74">
        <f>SUMIF('Carga Diaria'!$B:$B,$A21,'Carga Diaria'!$L:$L)</f>
        <v>0</v>
      </c>
      <c r="K21" s="75">
        <f t="shared" si="4"/>
        <v>0</v>
      </c>
      <c r="L21" s="74">
        <f>SUMIF('Carga Diaria'!$B:$B,$A21,'Carga Diaria'!$N:$N)</f>
        <v>0</v>
      </c>
      <c r="M21" s="75">
        <f t="shared" si="5"/>
        <v>0</v>
      </c>
      <c r="N21" s="74">
        <f>SUMIF('Carga Diaria'!$B:$B,$A21,'Carga Diaria'!$P:$P)</f>
        <v>0</v>
      </c>
      <c r="O21" s="76">
        <f>N21*'Config  Metas'!$B$10</f>
        <v>0</v>
      </c>
      <c r="P21" s="77" t="str">
        <f t="shared" ref="P21:AB21" si="24">IF(C20=0,"N/A",(C21-C20)/C20)</f>
        <v>N/A</v>
      </c>
      <c r="Q21" s="77" t="str">
        <f t="shared" si="24"/>
        <v>N/A</v>
      </c>
      <c r="R21" s="77" t="str">
        <f t="shared" si="24"/>
        <v>N/A</v>
      </c>
      <c r="S21" s="77" t="str">
        <f t="shared" si="24"/>
        <v>N/A</v>
      </c>
      <c r="T21" s="77" t="str">
        <f t="shared" si="24"/>
        <v>N/A</v>
      </c>
      <c r="U21" s="77" t="str">
        <f t="shared" si="24"/>
        <v>N/A</v>
      </c>
      <c r="V21" s="77" t="str">
        <f t="shared" si="24"/>
        <v>N/A</v>
      </c>
      <c r="W21" s="77" t="str">
        <f t="shared" si="24"/>
        <v>N/A</v>
      </c>
      <c r="X21" s="77" t="str">
        <f t="shared" si="24"/>
        <v>N/A</v>
      </c>
      <c r="Y21" s="77" t="str">
        <f t="shared" si="24"/>
        <v>N/A</v>
      </c>
      <c r="Z21" s="77" t="str">
        <f t="shared" si="24"/>
        <v>N/A</v>
      </c>
      <c r="AA21" s="77" t="str">
        <f t="shared" si="24"/>
        <v>N/A</v>
      </c>
      <c r="AB21" s="77" t="str">
        <f t="shared" si="24"/>
        <v>N/A</v>
      </c>
      <c r="AC21" s="74" t="str">
        <f>IF(E21&lt;'Config  Metas'!$B$2,"🚨 REVISAR HORARIO O SCRIPT",IF(G21&lt;'Config  Metas'!$B$3,"🚨 GUIÓN DÉBIL EN APERTURA",IF(I21&lt;'Config  Metas'!$B$4,"⚠️ FALTA CONFIRMACIÓN PRE-REUNIÓN",IF(K21&lt;'Config  Metas'!$B$5,"🚨 SIN CIERRES DE PRUEBA",IF(M21&lt;'Config  Metas'!$B$6,"🚨 OBJECIONES NO RESUELTAS",IF(N21&lt;'Config  Metas'!$B$7,"🔻 BAJO PISO SEMANAL",IF(AND(E21&gt;='Config  Metas'!$B$2,G21&gt;='Config  Metas'!$B$3,I21&gt;='Config  Metas'!$B$4,K21&gt;='Config  Metas'!$B$5,M21&gt;='Config  Metas'!$B$6,N21&gt;='Config  Metas'!$B$7),"✅ RENDIMIENTO SOBRE META","✅ ESTABLE")))))))</f>
        <v>🚨 REVISAR HORARIO O SCRIPT</v>
      </c>
    </row>
    <row r="22" ht="15.75" customHeight="1">
      <c r="A22" s="74" t="s">
        <v>144</v>
      </c>
      <c r="B22" s="74">
        <f>SUMIF('Carga Diaria'!$B:$B,$A22,'Carga Diaria'!$D:$D)</f>
        <v>0</v>
      </c>
      <c r="C22" s="74">
        <f>SUMIF('Carga Diaria'!$B:$B,$A22,'Carga Diaria'!$E:$E)</f>
        <v>0</v>
      </c>
      <c r="D22" s="74">
        <f>SUMIF('Carga Diaria'!$B:$B,$A22,'Carga Diaria'!$F:$F)</f>
        <v>0</v>
      </c>
      <c r="E22" s="75">
        <f t="shared" si="1"/>
        <v>0</v>
      </c>
      <c r="F22" s="74">
        <f>SUMIF('Carga Diaria'!$B:$B,$A22,'Carga Diaria'!$H:$H)</f>
        <v>0</v>
      </c>
      <c r="G22" s="75">
        <f t="shared" si="2"/>
        <v>0</v>
      </c>
      <c r="H22" s="74">
        <f>SUMIF('Carga Diaria'!$B:$B,$A22,'Carga Diaria'!$J:$J)</f>
        <v>0</v>
      </c>
      <c r="I22" s="75">
        <f t="shared" si="3"/>
        <v>0</v>
      </c>
      <c r="J22" s="74">
        <f>SUMIF('Carga Diaria'!$B:$B,$A22,'Carga Diaria'!$L:$L)</f>
        <v>0</v>
      </c>
      <c r="K22" s="75">
        <f t="shared" si="4"/>
        <v>0</v>
      </c>
      <c r="L22" s="74">
        <f>SUMIF('Carga Diaria'!$B:$B,$A22,'Carga Diaria'!$N:$N)</f>
        <v>0</v>
      </c>
      <c r="M22" s="75">
        <f t="shared" si="5"/>
        <v>0</v>
      </c>
      <c r="N22" s="74">
        <f>SUMIF('Carga Diaria'!$B:$B,$A22,'Carga Diaria'!$P:$P)</f>
        <v>0</v>
      </c>
      <c r="O22" s="76">
        <f>N22*'Config  Metas'!$B$10</f>
        <v>0</v>
      </c>
      <c r="P22" s="77" t="str">
        <f t="shared" ref="P22:AB22" si="25">IF(C21=0,"N/A",(C22-C21)/C21)</f>
        <v>N/A</v>
      </c>
      <c r="Q22" s="77" t="str">
        <f t="shared" si="25"/>
        <v>N/A</v>
      </c>
      <c r="R22" s="77" t="str">
        <f t="shared" si="25"/>
        <v>N/A</v>
      </c>
      <c r="S22" s="77" t="str">
        <f t="shared" si="25"/>
        <v>N/A</v>
      </c>
      <c r="T22" s="77" t="str">
        <f t="shared" si="25"/>
        <v>N/A</v>
      </c>
      <c r="U22" s="77" t="str">
        <f t="shared" si="25"/>
        <v>N/A</v>
      </c>
      <c r="V22" s="77" t="str">
        <f t="shared" si="25"/>
        <v>N/A</v>
      </c>
      <c r="W22" s="77" t="str">
        <f t="shared" si="25"/>
        <v>N/A</v>
      </c>
      <c r="X22" s="77" t="str">
        <f t="shared" si="25"/>
        <v>N/A</v>
      </c>
      <c r="Y22" s="77" t="str">
        <f t="shared" si="25"/>
        <v>N/A</v>
      </c>
      <c r="Z22" s="77" t="str">
        <f t="shared" si="25"/>
        <v>N/A</v>
      </c>
      <c r="AA22" s="77" t="str">
        <f t="shared" si="25"/>
        <v>N/A</v>
      </c>
      <c r="AB22" s="77" t="str">
        <f t="shared" si="25"/>
        <v>N/A</v>
      </c>
      <c r="AC22" s="74" t="str">
        <f>IF(E22&lt;'Config  Metas'!$B$2,"🚨 REVISAR HORARIO O SCRIPT",IF(G22&lt;'Config  Metas'!$B$3,"🚨 GUIÓN DÉBIL EN APERTURA",IF(I22&lt;'Config  Metas'!$B$4,"⚠️ FALTA CONFIRMACIÓN PRE-REUNIÓN",IF(K22&lt;'Config  Metas'!$B$5,"🚨 SIN CIERRES DE PRUEBA",IF(M22&lt;'Config  Metas'!$B$6,"🚨 OBJECIONES NO RESUELTAS",IF(N22&lt;'Config  Metas'!$B$7,"🔻 BAJO PISO SEMANAL",IF(AND(E22&gt;='Config  Metas'!$B$2,G22&gt;='Config  Metas'!$B$3,I22&gt;='Config  Metas'!$B$4,K22&gt;='Config  Metas'!$B$5,M22&gt;='Config  Metas'!$B$6,N22&gt;='Config  Metas'!$B$7),"✅ RENDIMIENTO SOBRE META","✅ ESTABLE")))))))</f>
        <v>🚨 REVISAR HORARIO O SCRIPT</v>
      </c>
    </row>
    <row r="23" ht="15.75" customHeight="1">
      <c r="A23" s="74" t="s">
        <v>145</v>
      </c>
      <c r="B23" s="74">
        <f>SUMIF('Carga Diaria'!$B:$B,$A23,'Carga Diaria'!$D:$D)</f>
        <v>0</v>
      </c>
      <c r="C23" s="74">
        <f>SUMIF('Carga Diaria'!$B:$B,$A23,'Carga Diaria'!$E:$E)</f>
        <v>0</v>
      </c>
      <c r="D23" s="74">
        <f>SUMIF('Carga Diaria'!$B:$B,$A23,'Carga Diaria'!$F:$F)</f>
        <v>0</v>
      </c>
      <c r="E23" s="75">
        <f t="shared" si="1"/>
        <v>0</v>
      </c>
      <c r="F23" s="74">
        <f>SUMIF('Carga Diaria'!$B:$B,$A23,'Carga Diaria'!$H:$H)</f>
        <v>0</v>
      </c>
      <c r="G23" s="75">
        <f t="shared" si="2"/>
        <v>0</v>
      </c>
      <c r="H23" s="74">
        <f>SUMIF('Carga Diaria'!$B:$B,$A23,'Carga Diaria'!$J:$J)</f>
        <v>0</v>
      </c>
      <c r="I23" s="75">
        <f t="shared" si="3"/>
        <v>0</v>
      </c>
      <c r="J23" s="74">
        <f>SUMIF('Carga Diaria'!$B:$B,$A23,'Carga Diaria'!$L:$L)</f>
        <v>0</v>
      </c>
      <c r="K23" s="75">
        <f t="shared" si="4"/>
        <v>0</v>
      </c>
      <c r="L23" s="74">
        <f>SUMIF('Carga Diaria'!$B:$B,$A23,'Carga Diaria'!$N:$N)</f>
        <v>0</v>
      </c>
      <c r="M23" s="75">
        <f t="shared" si="5"/>
        <v>0</v>
      </c>
      <c r="N23" s="74">
        <f>SUMIF('Carga Diaria'!$B:$B,$A23,'Carga Diaria'!$P:$P)</f>
        <v>0</v>
      </c>
      <c r="O23" s="76">
        <f>N23*'Config  Metas'!$B$10</f>
        <v>0</v>
      </c>
      <c r="P23" s="77" t="str">
        <f t="shared" ref="P23:AB23" si="26">IF(C22=0,"N/A",(C23-C22)/C22)</f>
        <v>N/A</v>
      </c>
      <c r="Q23" s="77" t="str">
        <f t="shared" si="26"/>
        <v>N/A</v>
      </c>
      <c r="R23" s="77" t="str">
        <f t="shared" si="26"/>
        <v>N/A</v>
      </c>
      <c r="S23" s="77" t="str">
        <f t="shared" si="26"/>
        <v>N/A</v>
      </c>
      <c r="T23" s="77" t="str">
        <f t="shared" si="26"/>
        <v>N/A</v>
      </c>
      <c r="U23" s="77" t="str">
        <f t="shared" si="26"/>
        <v>N/A</v>
      </c>
      <c r="V23" s="77" t="str">
        <f t="shared" si="26"/>
        <v>N/A</v>
      </c>
      <c r="W23" s="77" t="str">
        <f t="shared" si="26"/>
        <v>N/A</v>
      </c>
      <c r="X23" s="77" t="str">
        <f t="shared" si="26"/>
        <v>N/A</v>
      </c>
      <c r="Y23" s="77" t="str">
        <f t="shared" si="26"/>
        <v>N/A</v>
      </c>
      <c r="Z23" s="77" t="str">
        <f t="shared" si="26"/>
        <v>N/A</v>
      </c>
      <c r="AA23" s="77" t="str">
        <f t="shared" si="26"/>
        <v>N/A</v>
      </c>
      <c r="AB23" s="77" t="str">
        <f t="shared" si="26"/>
        <v>N/A</v>
      </c>
      <c r="AC23" s="74" t="str">
        <f>IF(E23&lt;'Config  Metas'!$B$2,"🚨 REVISAR HORARIO O SCRIPT",IF(G23&lt;'Config  Metas'!$B$3,"🚨 GUIÓN DÉBIL EN APERTURA",IF(I23&lt;'Config  Metas'!$B$4,"⚠️ FALTA CONFIRMACIÓN PRE-REUNIÓN",IF(K23&lt;'Config  Metas'!$B$5,"🚨 SIN CIERRES DE PRUEBA",IF(M23&lt;'Config  Metas'!$B$6,"🚨 OBJECIONES NO RESUELTAS",IF(N23&lt;'Config  Metas'!$B$7,"🔻 BAJO PISO SEMANAL",IF(AND(E23&gt;='Config  Metas'!$B$2,G23&gt;='Config  Metas'!$B$3,I23&gt;='Config  Metas'!$B$4,K23&gt;='Config  Metas'!$B$5,M23&gt;='Config  Metas'!$B$6,N23&gt;='Config  Metas'!$B$7),"✅ RENDIMIENTO SOBRE META","✅ ESTABLE")))))))</f>
        <v>🚨 REVISAR HORARIO O SCRIPT</v>
      </c>
    </row>
    <row r="24" ht="15.75" customHeight="1">
      <c r="A24" s="74" t="s">
        <v>146</v>
      </c>
      <c r="B24" s="74">
        <f>SUMIF('Carga Diaria'!$B:$B,$A24,'Carga Diaria'!$D:$D)</f>
        <v>0</v>
      </c>
      <c r="C24" s="74">
        <f>SUMIF('Carga Diaria'!$B:$B,$A24,'Carga Diaria'!$E:$E)</f>
        <v>0</v>
      </c>
      <c r="D24" s="74">
        <f>SUMIF('Carga Diaria'!$B:$B,$A24,'Carga Diaria'!$F:$F)</f>
        <v>0</v>
      </c>
      <c r="E24" s="75">
        <f t="shared" si="1"/>
        <v>0</v>
      </c>
      <c r="F24" s="74">
        <f>SUMIF('Carga Diaria'!$B:$B,$A24,'Carga Diaria'!$H:$H)</f>
        <v>0</v>
      </c>
      <c r="G24" s="75">
        <f t="shared" si="2"/>
        <v>0</v>
      </c>
      <c r="H24" s="74">
        <f>SUMIF('Carga Diaria'!$B:$B,$A24,'Carga Diaria'!$J:$J)</f>
        <v>0</v>
      </c>
      <c r="I24" s="75">
        <f t="shared" si="3"/>
        <v>0</v>
      </c>
      <c r="J24" s="74">
        <f>SUMIF('Carga Diaria'!$B:$B,$A24,'Carga Diaria'!$L:$L)</f>
        <v>0</v>
      </c>
      <c r="K24" s="75">
        <f t="shared" si="4"/>
        <v>0</v>
      </c>
      <c r="L24" s="74">
        <f>SUMIF('Carga Diaria'!$B:$B,$A24,'Carga Diaria'!$N:$N)</f>
        <v>0</v>
      </c>
      <c r="M24" s="75">
        <f t="shared" si="5"/>
        <v>0</v>
      </c>
      <c r="N24" s="74">
        <f>SUMIF('Carga Diaria'!$B:$B,$A24,'Carga Diaria'!$P:$P)</f>
        <v>0</v>
      </c>
      <c r="O24" s="76">
        <f>N24*'Config  Metas'!$B$10</f>
        <v>0</v>
      </c>
      <c r="P24" s="77" t="str">
        <f t="shared" ref="P24:AB24" si="27">IF(C23=0,"N/A",(C24-C23)/C23)</f>
        <v>N/A</v>
      </c>
      <c r="Q24" s="77" t="str">
        <f t="shared" si="27"/>
        <v>N/A</v>
      </c>
      <c r="R24" s="77" t="str">
        <f t="shared" si="27"/>
        <v>N/A</v>
      </c>
      <c r="S24" s="77" t="str">
        <f t="shared" si="27"/>
        <v>N/A</v>
      </c>
      <c r="T24" s="77" t="str">
        <f t="shared" si="27"/>
        <v>N/A</v>
      </c>
      <c r="U24" s="77" t="str">
        <f t="shared" si="27"/>
        <v>N/A</v>
      </c>
      <c r="V24" s="77" t="str">
        <f t="shared" si="27"/>
        <v>N/A</v>
      </c>
      <c r="W24" s="77" t="str">
        <f t="shared" si="27"/>
        <v>N/A</v>
      </c>
      <c r="X24" s="77" t="str">
        <f t="shared" si="27"/>
        <v>N/A</v>
      </c>
      <c r="Y24" s="77" t="str">
        <f t="shared" si="27"/>
        <v>N/A</v>
      </c>
      <c r="Z24" s="77" t="str">
        <f t="shared" si="27"/>
        <v>N/A</v>
      </c>
      <c r="AA24" s="77" t="str">
        <f t="shared" si="27"/>
        <v>N/A</v>
      </c>
      <c r="AB24" s="77" t="str">
        <f t="shared" si="27"/>
        <v>N/A</v>
      </c>
      <c r="AC24" s="74" t="str">
        <f>IF(E24&lt;'Config  Metas'!$B$2,"🚨 REVISAR HORARIO O SCRIPT",IF(G24&lt;'Config  Metas'!$B$3,"🚨 GUIÓN DÉBIL EN APERTURA",IF(I24&lt;'Config  Metas'!$B$4,"⚠️ FALTA CONFIRMACIÓN PRE-REUNIÓN",IF(K24&lt;'Config  Metas'!$B$5,"🚨 SIN CIERRES DE PRUEBA",IF(M24&lt;'Config  Metas'!$B$6,"🚨 OBJECIONES NO RESUELTAS",IF(N24&lt;'Config  Metas'!$B$7,"🔻 BAJO PISO SEMANAL",IF(AND(E24&gt;='Config  Metas'!$B$2,G24&gt;='Config  Metas'!$B$3,I24&gt;='Config  Metas'!$B$4,K24&gt;='Config  Metas'!$B$5,M24&gt;='Config  Metas'!$B$6,N24&gt;='Config  Metas'!$B$7),"✅ RENDIMIENTO SOBRE META","✅ ESTABLE")))))))</f>
        <v>🚨 REVISAR HORARIO O SCRIPT</v>
      </c>
    </row>
    <row r="25" ht="15.75" customHeight="1">
      <c r="A25" s="74" t="s">
        <v>147</v>
      </c>
      <c r="B25" s="74">
        <f>SUMIF('Carga Diaria'!$B:$B,$A25,'Carga Diaria'!$D:$D)</f>
        <v>0</v>
      </c>
      <c r="C25" s="74">
        <f>SUMIF('Carga Diaria'!$B:$B,$A25,'Carga Diaria'!$E:$E)</f>
        <v>0</v>
      </c>
      <c r="D25" s="74">
        <f>SUMIF('Carga Diaria'!$B:$B,$A25,'Carga Diaria'!$F:$F)</f>
        <v>0</v>
      </c>
      <c r="E25" s="75">
        <f t="shared" si="1"/>
        <v>0</v>
      </c>
      <c r="F25" s="74">
        <f>SUMIF('Carga Diaria'!$B:$B,$A25,'Carga Diaria'!$H:$H)</f>
        <v>0</v>
      </c>
      <c r="G25" s="75">
        <f t="shared" si="2"/>
        <v>0</v>
      </c>
      <c r="H25" s="74">
        <f>SUMIF('Carga Diaria'!$B:$B,$A25,'Carga Diaria'!$J:$J)</f>
        <v>0</v>
      </c>
      <c r="I25" s="75">
        <f t="shared" si="3"/>
        <v>0</v>
      </c>
      <c r="J25" s="74">
        <f>SUMIF('Carga Diaria'!$B:$B,$A25,'Carga Diaria'!$L:$L)</f>
        <v>0</v>
      </c>
      <c r="K25" s="75">
        <f t="shared" si="4"/>
        <v>0</v>
      </c>
      <c r="L25" s="74">
        <f>SUMIF('Carga Diaria'!$B:$B,$A25,'Carga Diaria'!$N:$N)</f>
        <v>0</v>
      </c>
      <c r="M25" s="75">
        <f t="shared" si="5"/>
        <v>0</v>
      </c>
      <c r="N25" s="74">
        <f>SUMIF('Carga Diaria'!$B:$B,$A25,'Carga Diaria'!$P:$P)</f>
        <v>0</v>
      </c>
      <c r="O25" s="76">
        <f>N25*'Config  Metas'!$B$10</f>
        <v>0</v>
      </c>
      <c r="P25" s="77" t="str">
        <f t="shared" ref="P25:AB25" si="28">IF(C24=0,"N/A",(C25-C24)/C24)</f>
        <v>N/A</v>
      </c>
      <c r="Q25" s="77" t="str">
        <f t="shared" si="28"/>
        <v>N/A</v>
      </c>
      <c r="R25" s="77" t="str">
        <f t="shared" si="28"/>
        <v>N/A</v>
      </c>
      <c r="S25" s="77" t="str">
        <f t="shared" si="28"/>
        <v>N/A</v>
      </c>
      <c r="T25" s="77" t="str">
        <f t="shared" si="28"/>
        <v>N/A</v>
      </c>
      <c r="U25" s="77" t="str">
        <f t="shared" si="28"/>
        <v>N/A</v>
      </c>
      <c r="V25" s="77" t="str">
        <f t="shared" si="28"/>
        <v>N/A</v>
      </c>
      <c r="W25" s="77" t="str">
        <f t="shared" si="28"/>
        <v>N/A</v>
      </c>
      <c r="X25" s="77" t="str">
        <f t="shared" si="28"/>
        <v>N/A</v>
      </c>
      <c r="Y25" s="77" t="str">
        <f t="shared" si="28"/>
        <v>N/A</v>
      </c>
      <c r="Z25" s="77" t="str">
        <f t="shared" si="28"/>
        <v>N/A</v>
      </c>
      <c r="AA25" s="77" t="str">
        <f t="shared" si="28"/>
        <v>N/A</v>
      </c>
      <c r="AB25" s="77" t="str">
        <f t="shared" si="28"/>
        <v>N/A</v>
      </c>
      <c r="AC25" s="74" t="str">
        <f>IF(E25&lt;'Config  Metas'!$B$2,"🚨 REVISAR HORARIO O SCRIPT",IF(G25&lt;'Config  Metas'!$B$3,"🚨 GUIÓN DÉBIL EN APERTURA",IF(I25&lt;'Config  Metas'!$B$4,"⚠️ FALTA CONFIRMACIÓN PRE-REUNIÓN",IF(K25&lt;'Config  Metas'!$B$5,"🚨 SIN CIERRES DE PRUEBA",IF(M25&lt;'Config  Metas'!$B$6,"🚨 OBJECIONES NO RESUELTAS",IF(N25&lt;'Config  Metas'!$B$7,"🔻 BAJO PISO SEMANAL",IF(AND(E25&gt;='Config  Metas'!$B$2,G25&gt;='Config  Metas'!$B$3,I25&gt;='Config  Metas'!$B$4,K25&gt;='Config  Metas'!$B$5,M25&gt;='Config  Metas'!$B$6,N25&gt;='Config  Metas'!$B$7),"✅ RENDIMIENTO SOBRE META","✅ ESTABLE")))))))</f>
        <v>🚨 REVISAR HORARIO O SCRIPT</v>
      </c>
    </row>
    <row r="26" ht="15.75" customHeight="1">
      <c r="A26" s="74" t="s">
        <v>148</v>
      </c>
      <c r="B26" s="74">
        <f>SUMIF('Carga Diaria'!$B:$B,$A26,'Carga Diaria'!$D:$D)</f>
        <v>0</v>
      </c>
      <c r="C26" s="74">
        <f>SUMIF('Carga Diaria'!$B:$B,$A26,'Carga Diaria'!$E:$E)</f>
        <v>0</v>
      </c>
      <c r="D26" s="74">
        <f>SUMIF('Carga Diaria'!$B:$B,$A26,'Carga Diaria'!$F:$F)</f>
        <v>0</v>
      </c>
      <c r="E26" s="75">
        <f t="shared" si="1"/>
        <v>0</v>
      </c>
      <c r="F26" s="74">
        <f>SUMIF('Carga Diaria'!$B:$B,$A26,'Carga Diaria'!$H:$H)</f>
        <v>0</v>
      </c>
      <c r="G26" s="75">
        <f t="shared" si="2"/>
        <v>0</v>
      </c>
      <c r="H26" s="74">
        <f>SUMIF('Carga Diaria'!$B:$B,$A26,'Carga Diaria'!$J:$J)</f>
        <v>0</v>
      </c>
      <c r="I26" s="75">
        <f t="shared" si="3"/>
        <v>0</v>
      </c>
      <c r="J26" s="74">
        <f>SUMIF('Carga Diaria'!$B:$B,$A26,'Carga Diaria'!$L:$L)</f>
        <v>0</v>
      </c>
      <c r="K26" s="75">
        <f t="shared" si="4"/>
        <v>0</v>
      </c>
      <c r="L26" s="74">
        <f>SUMIF('Carga Diaria'!$B:$B,$A26,'Carga Diaria'!$N:$N)</f>
        <v>0</v>
      </c>
      <c r="M26" s="75">
        <f t="shared" si="5"/>
        <v>0</v>
      </c>
      <c r="N26" s="74">
        <f>SUMIF('Carga Diaria'!$B:$B,$A26,'Carga Diaria'!$P:$P)</f>
        <v>0</v>
      </c>
      <c r="O26" s="76">
        <f>N26*'Config  Metas'!$B$10</f>
        <v>0</v>
      </c>
      <c r="P26" s="77" t="str">
        <f t="shared" ref="P26:AB26" si="29">IF(C25=0,"N/A",(C26-C25)/C25)</f>
        <v>N/A</v>
      </c>
      <c r="Q26" s="77" t="str">
        <f t="shared" si="29"/>
        <v>N/A</v>
      </c>
      <c r="R26" s="77" t="str">
        <f t="shared" si="29"/>
        <v>N/A</v>
      </c>
      <c r="S26" s="77" t="str">
        <f t="shared" si="29"/>
        <v>N/A</v>
      </c>
      <c r="T26" s="77" t="str">
        <f t="shared" si="29"/>
        <v>N/A</v>
      </c>
      <c r="U26" s="77" t="str">
        <f t="shared" si="29"/>
        <v>N/A</v>
      </c>
      <c r="V26" s="77" t="str">
        <f t="shared" si="29"/>
        <v>N/A</v>
      </c>
      <c r="W26" s="77" t="str">
        <f t="shared" si="29"/>
        <v>N/A</v>
      </c>
      <c r="X26" s="77" t="str">
        <f t="shared" si="29"/>
        <v>N/A</v>
      </c>
      <c r="Y26" s="77" t="str">
        <f t="shared" si="29"/>
        <v>N/A</v>
      </c>
      <c r="Z26" s="77" t="str">
        <f t="shared" si="29"/>
        <v>N/A</v>
      </c>
      <c r="AA26" s="77" t="str">
        <f t="shared" si="29"/>
        <v>N/A</v>
      </c>
      <c r="AB26" s="77" t="str">
        <f t="shared" si="29"/>
        <v>N/A</v>
      </c>
      <c r="AC26" s="74" t="str">
        <f>IF(E26&lt;'Config  Metas'!$B$2,"🚨 REVISAR HORARIO O SCRIPT",IF(G26&lt;'Config  Metas'!$B$3,"🚨 GUIÓN DÉBIL EN APERTURA",IF(I26&lt;'Config  Metas'!$B$4,"⚠️ FALTA CONFIRMACIÓN PRE-REUNIÓN",IF(K26&lt;'Config  Metas'!$B$5,"🚨 SIN CIERRES DE PRUEBA",IF(M26&lt;'Config  Metas'!$B$6,"🚨 OBJECIONES NO RESUELTAS",IF(N26&lt;'Config  Metas'!$B$7,"🔻 BAJO PISO SEMANAL",IF(AND(E26&gt;='Config  Metas'!$B$2,G26&gt;='Config  Metas'!$B$3,I26&gt;='Config  Metas'!$B$4,K26&gt;='Config  Metas'!$B$5,M26&gt;='Config  Metas'!$B$6,N26&gt;='Config  Metas'!$B$7),"✅ RENDIMIENTO SOBRE META","✅ ESTABLE")))))))</f>
        <v>🚨 REVISAR HORARIO O SCRIPT</v>
      </c>
    </row>
    <row r="27" ht="15.75" customHeight="1">
      <c r="A27" s="74" t="s">
        <v>149</v>
      </c>
      <c r="B27" s="74">
        <f>SUMIF('Carga Diaria'!$B:$B,$A27,'Carga Diaria'!$D:$D)</f>
        <v>0</v>
      </c>
      <c r="C27" s="74">
        <f>SUMIF('Carga Diaria'!$B:$B,$A27,'Carga Diaria'!$E:$E)</f>
        <v>0</v>
      </c>
      <c r="D27" s="74">
        <f>SUMIF('Carga Diaria'!$B:$B,$A27,'Carga Diaria'!$F:$F)</f>
        <v>0</v>
      </c>
      <c r="E27" s="75">
        <f t="shared" si="1"/>
        <v>0</v>
      </c>
      <c r="F27" s="74">
        <f>SUMIF('Carga Diaria'!$B:$B,$A27,'Carga Diaria'!$H:$H)</f>
        <v>0</v>
      </c>
      <c r="G27" s="75">
        <f t="shared" si="2"/>
        <v>0</v>
      </c>
      <c r="H27" s="74">
        <f>SUMIF('Carga Diaria'!$B:$B,$A27,'Carga Diaria'!$J:$J)</f>
        <v>0</v>
      </c>
      <c r="I27" s="75">
        <f t="shared" si="3"/>
        <v>0</v>
      </c>
      <c r="J27" s="74">
        <f>SUMIF('Carga Diaria'!$B:$B,$A27,'Carga Diaria'!$L:$L)</f>
        <v>0</v>
      </c>
      <c r="K27" s="75">
        <f t="shared" si="4"/>
        <v>0</v>
      </c>
      <c r="L27" s="74">
        <f>SUMIF('Carga Diaria'!$B:$B,$A27,'Carga Diaria'!$N:$N)</f>
        <v>0</v>
      </c>
      <c r="M27" s="75">
        <f t="shared" si="5"/>
        <v>0</v>
      </c>
      <c r="N27" s="74">
        <f>SUMIF('Carga Diaria'!$B:$B,$A27,'Carga Diaria'!$P:$P)</f>
        <v>0</v>
      </c>
      <c r="O27" s="76">
        <f>N27*'Config  Metas'!$B$10</f>
        <v>0</v>
      </c>
      <c r="P27" s="77" t="str">
        <f t="shared" ref="P27:AB27" si="30">IF(C26=0,"N/A",(C27-C26)/C26)</f>
        <v>N/A</v>
      </c>
      <c r="Q27" s="77" t="str">
        <f t="shared" si="30"/>
        <v>N/A</v>
      </c>
      <c r="R27" s="77" t="str">
        <f t="shared" si="30"/>
        <v>N/A</v>
      </c>
      <c r="S27" s="77" t="str">
        <f t="shared" si="30"/>
        <v>N/A</v>
      </c>
      <c r="T27" s="77" t="str">
        <f t="shared" si="30"/>
        <v>N/A</v>
      </c>
      <c r="U27" s="77" t="str">
        <f t="shared" si="30"/>
        <v>N/A</v>
      </c>
      <c r="V27" s="77" t="str">
        <f t="shared" si="30"/>
        <v>N/A</v>
      </c>
      <c r="W27" s="77" t="str">
        <f t="shared" si="30"/>
        <v>N/A</v>
      </c>
      <c r="X27" s="77" t="str">
        <f t="shared" si="30"/>
        <v>N/A</v>
      </c>
      <c r="Y27" s="77" t="str">
        <f t="shared" si="30"/>
        <v>N/A</v>
      </c>
      <c r="Z27" s="77" t="str">
        <f t="shared" si="30"/>
        <v>N/A</v>
      </c>
      <c r="AA27" s="77" t="str">
        <f t="shared" si="30"/>
        <v>N/A</v>
      </c>
      <c r="AB27" s="77" t="str">
        <f t="shared" si="30"/>
        <v>N/A</v>
      </c>
      <c r="AC27" s="74" t="str">
        <f>IF(E27&lt;'Config  Metas'!$B$2,"🚨 REVISAR HORARIO O SCRIPT",IF(G27&lt;'Config  Metas'!$B$3,"🚨 GUIÓN DÉBIL EN APERTURA",IF(I27&lt;'Config  Metas'!$B$4,"⚠️ FALTA CONFIRMACIÓN PRE-REUNIÓN",IF(K27&lt;'Config  Metas'!$B$5,"🚨 SIN CIERRES DE PRUEBA",IF(M27&lt;'Config  Metas'!$B$6,"🚨 OBJECIONES NO RESUELTAS",IF(N27&lt;'Config  Metas'!$B$7,"🔻 BAJO PISO SEMANAL",IF(AND(E27&gt;='Config  Metas'!$B$2,G27&gt;='Config  Metas'!$B$3,I27&gt;='Config  Metas'!$B$4,K27&gt;='Config  Metas'!$B$5,M27&gt;='Config  Metas'!$B$6,N27&gt;='Config  Metas'!$B$7),"✅ RENDIMIENTO SOBRE META","✅ ESTABLE")))))))</f>
        <v>🚨 REVISAR HORARIO O SCRIPT</v>
      </c>
    </row>
    <row r="28" ht="15.75" customHeight="1">
      <c r="A28" s="74" t="s">
        <v>150</v>
      </c>
      <c r="B28" s="74">
        <f>SUMIF('Carga Diaria'!$B:$B,$A28,'Carga Diaria'!$D:$D)</f>
        <v>0</v>
      </c>
      <c r="C28" s="74">
        <f>SUMIF('Carga Diaria'!$B:$B,$A28,'Carga Diaria'!$E:$E)</f>
        <v>0</v>
      </c>
      <c r="D28" s="74">
        <f>SUMIF('Carga Diaria'!$B:$B,$A28,'Carga Diaria'!$F:$F)</f>
        <v>0</v>
      </c>
      <c r="E28" s="75">
        <f t="shared" si="1"/>
        <v>0</v>
      </c>
      <c r="F28" s="74">
        <f>SUMIF('Carga Diaria'!$B:$B,$A28,'Carga Diaria'!$H:$H)</f>
        <v>0</v>
      </c>
      <c r="G28" s="75">
        <f t="shared" si="2"/>
        <v>0</v>
      </c>
      <c r="H28" s="74">
        <f>SUMIF('Carga Diaria'!$B:$B,$A28,'Carga Diaria'!$J:$J)</f>
        <v>0</v>
      </c>
      <c r="I28" s="75">
        <f t="shared" si="3"/>
        <v>0</v>
      </c>
      <c r="J28" s="74">
        <f>SUMIF('Carga Diaria'!$B:$B,$A28,'Carga Diaria'!$L:$L)</f>
        <v>0</v>
      </c>
      <c r="K28" s="75">
        <f t="shared" si="4"/>
        <v>0</v>
      </c>
      <c r="L28" s="74">
        <f>SUMIF('Carga Diaria'!$B:$B,$A28,'Carga Diaria'!$N:$N)</f>
        <v>0</v>
      </c>
      <c r="M28" s="75">
        <f t="shared" si="5"/>
        <v>0</v>
      </c>
      <c r="N28" s="74">
        <f>SUMIF('Carga Diaria'!$B:$B,$A28,'Carga Diaria'!$P:$P)</f>
        <v>0</v>
      </c>
      <c r="O28" s="76">
        <f>N28*'Config  Metas'!$B$10</f>
        <v>0</v>
      </c>
      <c r="P28" s="77" t="str">
        <f t="shared" ref="P28:AB28" si="31">IF(C27=0,"N/A",(C28-C27)/C27)</f>
        <v>N/A</v>
      </c>
      <c r="Q28" s="77" t="str">
        <f t="shared" si="31"/>
        <v>N/A</v>
      </c>
      <c r="R28" s="77" t="str">
        <f t="shared" si="31"/>
        <v>N/A</v>
      </c>
      <c r="S28" s="77" t="str">
        <f t="shared" si="31"/>
        <v>N/A</v>
      </c>
      <c r="T28" s="77" t="str">
        <f t="shared" si="31"/>
        <v>N/A</v>
      </c>
      <c r="U28" s="77" t="str">
        <f t="shared" si="31"/>
        <v>N/A</v>
      </c>
      <c r="V28" s="77" t="str">
        <f t="shared" si="31"/>
        <v>N/A</v>
      </c>
      <c r="W28" s="77" t="str">
        <f t="shared" si="31"/>
        <v>N/A</v>
      </c>
      <c r="X28" s="77" t="str">
        <f t="shared" si="31"/>
        <v>N/A</v>
      </c>
      <c r="Y28" s="77" t="str">
        <f t="shared" si="31"/>
        <v>N/A</v>
      </c>
      <c r="Z28" s="77" t="str">
        <f t="shared" si="31"/>
        <v>N/A</v>
      </c>
      <c r="AA28" s="77" t="str">
        <f t="shared" si="31"/>
        <v>N/A</v>
      </c>
      <c r="AB28" s="77" t="str">
        <f t="shared" si="31"/>
        <v>N/A</v>
      </c>
      <c r="AC28" s="74" t="str">
        <f>IF(E28&lt;'Config  Metas'!$B$2,"🚨 REVISAR HORARIO O SCRIPT",IF(G28&lt;'Config  Metas'!$B$3,"🚨 GUIÓN DÉBIL EN APERTURA",IF(I28&lt;'Config  Metas'!$B$4,"⚠️ FALTA CONFIRMACIÓN PRE-REUNIÓN",IF(K28&lt;'Config  Metas'!$B$5,"🚨 SIN CIERRES DE PRUEBA",IF(M28&lt;'Config  Metas'!$B$6,"🚨 OBJECIONES NO RESUELTAS",IF(N28&lt;'Config  Metas'!$B$7,"🔻 BAJO PISO SEMANAL",IF(AND(E28&gt;='Config  Metas'!$B$2,G28&gt;='Config  Metas'!$B$3,I28&gt;='Config  Metas'!$B$4,K28&gt;='Config  Metas'!$B$5,M28&gt;='Config  Metas'!$B$6,N28&gt;='Config  Metas'!$B$7),"✅ RENDIMIENTO SOBRE META","✅ ESTABLE")))))))</f>
        <v>🚨 REVISAR HORARIO O SCRIPT</v>
      </c>
    </row>
    <row r="29" ht="15.75" customHeight="1">
      <c r="A29" s="74" t="s">
        <v>151</v>
      </c>
      <c r="B29" s="74">
        <f>SUMIF('Carga Diaria'!$B:$B,$A29,'Carga Diaria'!$D:$D)</f>
        <v>0</v>
      </c>
      <c r="C29" s="74">
        <f>SUMIF('Carga Diaria'!$B:$B,$A29,'Carga Diaria'!$E:$E)</f>
        <v>0</v>
      </c>
      <c r="D29" s="74">
        <f>SUMIF('Carga Diaria'!$B:$B,$A29,'Carga Diaria'!$F:$F)</f>
        <v>0</v>
      </c>
      <c r="E29" s="75">
        <f t="shared" si="1"/>
        <v>0</v>
      </c>
      <c r="F29" s="74">
        <f>SUMIF('Carga Diaria'!$B:$B,$A29,'Carga Diaria'!$H:$H)</f>
        <v>0</v>
      </c>
      <c r="G29" s="75">
        <f t="shared" si="2"/>
        <v>0</v>
      </c>
      <c r="H29" s="74">
        <f>SUMIF('Carga Diaria'!$B:$B,$A29,'Carga Diaria'!$J:$J)</f>
        <v>0</v>
      </c>
      <c r="I29" s="75">
        <f t="shared" si="3"/>
        <v>0</v>
      </c>
      <c r="J29" s="74">
        <f>SUMIF('Carga Diaria'!$B:$B,$A29,'Carga Diaria'!$L:$L)</f>
        <v>0</v>
      </c>
      <c r="K29" s="75">
        <f t="shared" si="4"/>
        <v>0</v>
      </c>
      <c r="L29" s="74">
        <f>SUMIF('Carga Diaria'!$B:$B,$A29,'Carga Diaria'!$N:$N)</f>
        <v>0</v>
      </c>
      <c r="M29" s="75">
        <f t="shared" si="5"/>
        <v>0</v>
      </c>
      <c r="N29" s="74">
        <f>SUMIF('Carga Diaria'!$B:$B,$A29,'Carga Diaria'!$P:$P)</f>
        <v>0</v>
      </c>
      <c r="O29" s="76">
        <f>N29*'Config  Metas'!$B$10</f>
        <v>0</v>
      </c>
      <c r="P29" s="77" t="str">
        <f t="shared" ref="P29:AB29" si="32">IF(C28=0,"N/A",(C29-C28)/C28)</f>
        <v>N/A</v>
      </c>
      <c r="Q29" s="77" t="str">
        <f t="shared" si="32"/>
        <v>N/A</v>
      </c>
      <c r="R29" s="77" t="str">
        <f t="shared" si="32"/>
        <v>N/A</v>
      </c>
      <c r="S29" s="77" t="str">
        <f t="shared" si="32"/>
        <v>N/A</v>
      </c>
      <c r="T29" s="77" t="str">
        <f t="shared" si="32"/>
        <v>N/A</v>
      </c>
      <c r="U29" s="77" t="str">
        <f t="shared" si="32"/>
        <v>N/A</v>
      </c>
      <c r="V29" s="77" t="str">
        <f t="shared" si="32"/>
        <v>N/A</v>
      </c>
      <c r="W29" s="77" t="str">
        <f t="shared" si="32"/>
        <v>N/A</v>
      </c>
      <c r="X29" s="77" t="str">
        <f t="shared" si="32"/>
        <v>N/A</v>
      </c>
      <c r="Y29" s="77" t="str">
        <f t="shared" si="32"/>
        <v>N/A</v>
      </c>
      <c r="Z29" s="77" t="str">
        <f t="shared" si="32"/>
        <v>N/A</v>
      </c>
      <c r="AA29" s="77" t="str">
        <f t="shared" si="32"/>
        <v>N/A</v>
      </c>
      <c r="AB29" s="77" t="str">
        <f t="shared" si="32"/>
        <v>N/A</v>
      </c>
      <c r="AC29" s="74" t="str">
        <f>IF(E29&lt;'Config  Metas'!$B$2,"🚨 REVISAR HORARIO O SCRIPT",IF(G29&lt;'Config  Metas'!$B$3,"🚨 GUIÓN DÉBIL EN APERTURA",IF(I29&lt;'Config  Metas'!$B$4,"⚠️ FALTA CONFIRMACIÓN PRE-REUNIÓN",IF(K29&lt;'Config  Metas'!$B$5,"🚨 SIN CIERRES DE PRUEBA",IF(M29&lt;'Config  Metas'!$B$6,"🚨 OBJECIONES NO RESUELTAS",IF(N29&lt;'Config  Metas'!$B$7,"🔻 BAJO PISO SEMANAL",IF(AND(E29&gt;='Config  Metas'!$B$2,G29&gt;='Config  Metas'!$B$3,I29&gt;='Config  Metas'!$B$4,K29&gt;='Config  Metas'!$B$5,M29&gt;='Config  Metas'!$B$6,N29&gt;='Config  Metas'!$B$7),"✅ RENDIMIENTO SOBRE META","✅ ESTABLE")))))))</f>
        <v>🚨 REVISAR HORARIO O SCRIPT</v>
      </c>
    </row>
    <row r="30" ht="15.75" customHeight="1">
      <c r="A30" s="74" t="s">
        <v>152</v>
      </c>
      <c r="B30" s="74">
        <f>SUMIF('Carga Diaria'!$B:$B,$A30,'Carga Diaria'!$D:$D)</f>
        <v>0</v>
      </c>
      <c r="C30" s="74">
        <f>SUMIF('Carga Diaria'!$B:$B,$A30,'Carga Diaria'!$E:$E)</f>
        <v>0</v>
      </c>
      <c r="D30" s="74">
        <f>SUMIF('Carga Diaria'!$B:$B,$A30,'Carga Diaria'!$F:$F)</f>
        <v>0</v>
      </c>
      <c r="E30" s="75">
        <f t="shared" si="1"/>
        <v>0</v>
      </c>
      <c r="F30" s="74">
        <f>SUMIF('Carga Diaria'!$B:$B,$A30,'Carga Diaria'!$H:$H)</f>
        <v>0</v>
      </c>
      <c r="G30" s="75">
        <f t="shared" si="2"/>
        <v>0</v>
      </c>
      <c r="H30" s="74">
        <f>SUMIF('Carga Diaria'!$B:$B,$A30,'Carga Diaria'!$J:$J)</f>
        <v>0</v>
      </c>
      <c r="I30" s="75">
        <f t="shared" si="3"/>
        <v>0</v>
      </c>
      <c r="J30" s="74">
        <f>SUMIF('Carga Diaria'!$B:$B,$A30,'Carga Diaria'!$L:$L)</f>
        <v>0</v>
      </c>
      <c r="K30" s="75">
        <f t="shared" si="4"/>
        <v>0</v>
      </c>
      <c r="L30" s="74">
        <f>SUMIF('Carga Diaria'!$B:$B,$A30,'Carga Diaria'!$N:$N)</f>
        <v>0</v>
      </c>
      <c r="M30" s="75">
        <f t="shared" si="5"/>
        <v>0</v>
      </c>
      <c r="N30" s="74">
        <f>SUMIF('Carga Diaria'!$B:$B,$A30,'Carga Diaria'!$P:$P)</f>
        <v>0</v>
      </c>
      <c r="O30" s="76">
        <f>N30*'Config  Metas'!$B$10</f>
        <v>0</v>
      </c>
      <c r="P30" s="77" t="str">
        <f t="shared" ref="P30:AB30" si="33">IF(C29=0,"N/A",(C30-C29)/C29)</f>
        <v>N/A</v>
      </c>
      <c r="Q30" s="77" t="str">
        <f t="shared" si="33"/>
        <v>N/A</v>
      </c>
      <c r="R30" s="77" t="str">
        <f t="shared" si="33"/>
        <v>N/A</v>
      </c>
      <c r="S30" s="77" t="str">
        <f t="shared" si="33"/>
        <v>N/A</v>
      </c>
      <c r="T30" s="77" t="str">
        <f t="shared" si="33"/>
        <v>N/A</v>
      </c>
      <c r="U30" s="77" t="str">
        <f t="shared" si="33"/>
        <v>N/A</v>
      </c>
      <c r="V30" s="77" t="str">
        <f t="shared" si="33"/>
        <v>N/A</v>
      </c>
      <c r="W30" s="77" t="str">
        <f t="shared" si="33"/>
        <v>N/A</v>
      </c>
      <c r="X30" s="77" t="str">
        <f t="shared" si="33"/>
        <v>N/A</v>
      </c>
      <c r="Y30" s="77" t="str">
        <f t="shared" si="33"/>
        <v>N/A</v>
      </c>
      <c r="Z30" s="77" t="str">
        <f t="shared" si="33"/>
        <v>N/A</v>
      </c>
      <c r="AA30" s="77" t="str">
        <f t="shared" si="33"/>
        <v>N/A</v>
      </c>
      <c r="AB30" s="77" t="str">
        <f t="shared" si="33"/>
        <v>N/A</v>
      </c>
      <c r="AC30" s="74" t="str">
        <f>IF(E30&lt;'Config  Metas'!$B$2,"🚨 REVISAR HORARIO O SCRIPT",IF(G30&lt;'Config  Metas'!$B$3,"🚨 GUIÓN DÉBIL EN APERTURA",IF(I30&lt;'Config  Metas'!$B$4,"⚠️ FALTA CONFIRMACIÓN PRE-REUNIÓN",IF(K30&lt;'Config  Metas'!$B$5,"🚨 SIN CIERRES DE PRUEBA",IF(M30&lt;'Config  Metas'!$B$6,"🚨 OBJECIONES NO RESUELTAS",IF(N30&lt;'Config  Metas'!$B$7,"🔻 BAJO PISO SEMANAL",IF(AND(E30&gt;='Config  Metas'!$B$2,G30&gt;='Config  Metas'!$B$3,I30&gt;='Config  Metas'!$B$4,K30&gt;='Config  Metas'!$B$5,M30&gt;='Config  Metas'!$B$6,N30&gt;='Config  Metas'!$B$7),"✅ RENDIMIENTO SOBRE META","✅ ESTABLE")))))))</f>
        <v>🚨 REVISAR HORARIO O SCRIPT</v>
      </c>
    </row>
    <row r="31" ht="15.75" customHeight="1">
      <c r="A31" s="74" t="s">
        <v>153</v>
      </c>
      <c r="B31" s="74">
        <f>SUMIF('Carga Diaria'!$B:$B,$A31,'Carga Diaria'!$D:$D)</f>
        <v>0</v>
      </c>
      <c r="C31" s="74">
        <f>SUMIF('Carga Diaria'!$B:$B,$A31,'Carga Diaria'!$E:$E)</f>
        <v>0</v>
      </c>
      <c r="D31" s="74">
        <f>SUMIF('Carga Diaria'!$B:$B,$A31,'Carga Diaria'!$F:$F)</f>
        <v>0</v>
      </c>
      <c r="E31" s="75">
        <f t="shared" si="1"/>
        <v>0</v>
      </c>
      <c r="F31" s="74">
        <f>SUMIF('Carga Diaria'!$B:$B,$A31,'Carga Diaria'!$H:$H)</f>
        <v>0</v>
      </c>
      <c r="G31" s="75">
        <f t="shared" si="2"/>
        <v>0</v>
      </c>
      <c r="H31" s="74">
        <f>SUMIF('Carga Diaria'!$B:$B,$A31,'Carga Diaria'!$J:$J)</f>
        <v>0</v>
      </c>
      <c r="I31" s="75">
        <f t="shared" si="3"/>
        <v>0</v>
      </c>
      <c r="J31" s="74">
        <f>SUMIF('Carga Diaria'!$B:$B,$A31,'Carga Diaria'!$L:$L)</f>
        <v>0</v>
      </c>
      <c r="K31" s="75">
        <f t="shared" si="4"/>
        <v>0</v>
      </c>
      <c r="L31" s="74">
        <f>SUMIF('Carga Diaria'!$B:$B,$A31,'Carga Diaria'!$N:$N)</f>
        <v>0</v>
      </c>
      <c r="M31" s="75">
        <f t="shared" si="5"/>
        <v>0</v>
      </c>
      <c r="N31" s="74">
        <f>SUMIF('Carga Diaria'!$B:$B,$A31,'Carga Diaria'!$P:$P)</f>
        <v>0</v>
      </c>
      <c r="O31" s="76">
        <f>N31*'Config  Metas'!$B$10</f>
        <v>0</v>
      </c>
      <c r="P31" s="77" t="str">
        <f t="shared" ref="P31:AB31" si="34">IF(C30=0,"N/A",(C31-C30)/C30)</f>
        <v>N/A</v>
      </c>
      <c r="Q31" s="77" t="str">
        <f t="shared" si="34"/>
        <v>N/A</v>
      </c>
      <c r="R31" s="77" t="str">
        <f t="shared" si="34"/>
        <v>N/A</v>
      </c>
      <c r="S31" s="77" t="str">
        <f t="shared" si="34"/>
        <v>N/A</v>
      </c>
      <c r="T31" s="77" t="str">
        <f t="shared" si="34"/>
        <v>N/A</v>
      </c>
      <c r="U31" s="77" t="str">
        <f t="shared" si="34"/>
        <v>N/A</v>
      </c>
      <c r="V31" s="77" t="str">
        <f t="shared" si="34"/>
        <v>N/A</v>
      </c>
      <c r="W31" s="77" t="str">
        <f t="shared" si="34"/>
        <v>N/A</v>
      </c>
      <c r="X31" s="77" t="str">
        <f t="shared" si="34"/>
        <v>N/A</v>
      </c>
      <c r="Y31" s="77" t="str">
        <f t="shared" si="34"/>
        <v>N/A</v>
      </c>
      <c r="Z31" s="77" t="str">
        <f t="shared" si="34"/>
        <v>N/A</v>
      </c>
      <c r="AA31" s="77" t="str">
        <f t="shared" si="34"/>
        <v>N/A</v>
      </c>
      <c r="AB31" s="77" t="str">
        <f t="shared" si="34"/>
        <v>N/A</v>
      </c>
      <c r="AC31" s="74" t="str">
        <f>IF(E31&lt;'Config  Metas'!$B$2,"🚨 REVISAR HORARIO O SCRIPT",IF(G31&lt;'Config  Metas'!$B$3,"🚨 GUIÓN DÉBIL EN APERTURA",IF(I31&lt;'Config  Metas'!$B$4,"⚠️ FALTA CONFIRMACIÓN PRE-REUNIÓN",IF(K31&lt;'Config  Metas'!$B$5,"🚨 SIN CIERRES DE PRUEBA",IF(M31&lt;'Config  Metas'!$B$6,"🚨 OBJECIONES NO RESUELTAS",IF(N31&lt;'Config  Metas'!$B$7,"🔻 BAJO PISO SEMANAL",IF(AND(E31&gt;='Config  Metas'!$B$2,G31&gt;='Config  Metas'!$B$3,I31&gt;='Config  Metas'!$B$4,K31&gt;='Config  Metas'!$B$5,M31&gt;='Config  Metas'!$B$6,N31&gt;='Config  Metas'!$B$7),"✅ RENDIMIENTO SOBRE META","✅ ESTABLE")))))))</f>
        <v>🚨 REVISAR HORARIO O SCRIPT</v>
      </c>
    </row>
    <row r="32" ht="15.75" customHeight="1">
      <c r="A32" s="74" t="s">
        <v>154</v>
      </c>
      <c r="B32" s="74">
        <f>SUMIF('Carga Diaria'!$B:$B,$A32,'Carga Diaria'!$D:$D)</f>
        <v>0</v>
      </c>
      <c r="C32" s="74">
        <f>SUMIF('Carga Diaria'!$B:$B,$A32,'Carga Diaria'!$E:$E)</f>
        <v>0</v>
      </c>
      <c r="D32" s="74">
        <f>SUMIF('Carga Diaria'!$B:$B,$A32,'Carga Diaria'!$F:$F)</f>
        <v>0</v>
      </c>
      <c r="E32" s="75">
        <f t="shared" si="1"/>
        <v>0</v>
      </c>
      <c r="F32" s="74">
        <f>SUMIF('Carga Diaria'!$B:$B,$A32,'Carga Diaria'!$H:$H)</f>
        <v>0</v>
      </c>
      <c r="G32" s="75">
        <f t="shared" si="2"/>
        <v>0</v>
      </c>
      <c r="H32" s="74">
        <f>SUMIF('Carga Diaria'!$B:$B,$A32,'Carga Diaria'!$J:$J)</f>
        <v>0</v>
      </c>
      <c r="I32" s="75">
        <f t="shared" si="3"/>
        <v>0</v>
      </c>
      <c r="J32" s="74">
        <f>SUMIF('Carga Diaria'!$B:$B,$A32,'Carga Diaria'!$L:$L)</f>
        <v>0</v>
      </c>
      <c r="K32" s="75">
        <f t="shared" si="4"/>
        <v>0</v>
      </c>
      <c r="L32" s="74">
        <f>SUMIF('Carga Diaria'!$B:$B,$A32,'Carga Diaria'!$N:$N)</f>
        <v>0</v>
      </c>
      <c r="M32" s="75">
        <f t="shared" si="5"/>
        <v>0</v>
      </c>
      <c r="N32" s="74">
        <f>SUMIF('Carga Diaria'!$B:$B,$A32,'Carga Diaria'!$P:$P)</f>
        <v>0</v>
      </c>
      <c r="O32" s="76">
        <f>N32*'Config  Metas'!$B$10</f>
        <v>0</v>
      </c>
      <c r="P32" s="77" t="str">
        <f t="shared" ref="P32:AB32" si="35">IF(C31=0,"N/A",(C32-C31)/C31)</f>
        <v>N/A</v>
      </c>
      <c r="Q32" s="77" t="str">
        <f t="shared" si="35"/>
        <v>N/A</v>
      </c>
      <c r="R32" s="77" t="str">
        <f t="shared" si="35"/>
        <v>N/A</v>
      </c>
      <c r="S32" s="77" t="str">
        <f t="shared" si="35"/>
        <v>N/A</v>
      </c>
      <c r="T32" s="77" t="str">
        <f t="shared" si="35"/>
        <v>N/A</v>
      </c>
      <c r="U32" s="77" t="str">
        <f t="shared" si="35"/>
        <v>N/A</v>
      </c>
      <c r="V32" s="77" t="str">
        <f t="shared" si="35"/>
        <v>N/A</v>
      </c>
      <c r="W32" s="77" t="str">
        <f t="shared" si="35"/>
        <v>N/A</v>
      </c>
      <c r="X32" s="77" t="str">
        <f t="shared" si="35"/>
        <v>N/A</v>
      </c>
      <c r="Y32" s="77" t="str">
        <f t="shared" si="35"/>
        <v>N/A</v>
      </c>
      <c r="Z32" s="77" t="str">
        <f t="shared" si="35"/>
        <v>N/A</v>
      </c>
      <c r="AA32" s="77" t="str">
        <f t="shared" si="35"/>
        <v>N/A</v>
      </c>
      <c r="AB32" s="77" t="str">
        <f t="shared" si="35"/>
        <v>N/A</v>
      </c>
      <c r="AC32" s="74" t="str">
        <f>IF(E32&lt;'Config  Metas'!$B$2,"🚨 REVISAR HORARIO O SCRIPT",IF(G32&lt;'Config  Metas'!$B$3,"🚨 GUIÓN DÉBIL EN APERTURA",IF(I32&lt;'Config  Metas'!$B$4,"⚠️ FALTA CONFIRMACIÓN PRE-REUNIÓN",IF(K32&lt;'Config  Metas'!$B$5,"🚨 SIN CIERRES DE PRUEBA",IF(M32&lt;'Config  Metas'!$B$6,"🚨 OBJECIONES NO RESUELTAS",IF(N32&lt;'Config  Metas'!$B$7,"🔻 BAJO PISO SEMANAL",IF(AND(E32&gt;='Config  Metas'!$B$2,G32&gt;='Config  Metas'!$B$3,I32&gt;='Config  Metas'!$B$4,K32&gt;='Config  Metas'!$B$5,M32&gt;='Config  Metas'!$B$6,N32&gt;='Config  Metas'!$B$7),"✅ RENDIMIENTO SOBRE META","✅ ESTABLE")))))))</f>
        <v>🚨 REVISAR HORARIO O SCRIPT</v>
      </c>
    </row>
    <row r="33" ht="15.75" customHeight="1">
      <c r="A33" s="74" t="s">
        <v>155</v>
      </c>
      <c r="B33" s="74">
        <f>SUMIF('Carga Diaria'!$B:$B,$A33,'Carga Diaria'!$D:$D)</f>
        <v>0</v>
      </c>
      <c r="C33" s="74">
        <f>SUMIF('Carga Diaria'!$B:$B,$A33,'Carga Diaria'!$E:$E)</f>
        <v>0</v>
      </c>
      <c r="D33" s="74">
        <f>SUMIF('Carga Diaria'!$B:$B,$A33,'Carga Diaria'!$F:$F)</f>
        <v>0</v>
      </c>
      <c r="E33" s="75">
        <f t="shared" si="1"/>
        <v>0</v>
      </c>
      <c r="F33" s="74">
        <f>SUMIF('Carga Diaria'!$B:$B,$A33,'Carga Diaria'!$H:$H)</f>
        <v>0</v>
      </c>
      <c r="G33" s="75">
        <f t="shared" si="2"/>
        <v>0</v>
      </c>
      <c r="H33" s="74">
        <f>SUMIF('Carga Diaria'!$B:$B,$A33,'Carga Diaria'!$J:$J)</f>
        <v>0</v>
      </c>
      <c r="I33" s="75">
        <f t="shared" si="3"/>
        <v>0</v>
      </c>
      <c r="J33" s="74">
        <f>SUMIF('Carga Diaria'!$B:$B,$A33,'Carga Diaria'!$L:$L)</f>
        <v>0</v>
      </c>
      <c r="K33" s="75">
        <f t="shared" si="4"/>
        <v>0</v>
      </c>
      <c r="L33" s="74">
        <f>SUMIF('Carga Diaria'!$B:$B,$A33,'Carga Diaria'!$N:$N)</f>
        <v>0</v>
      </c>
      <c r="M33" s="75">
        <f t="shared" si="5"/>
        <v>0</v>
      </c>
      <c r="N33" s="74">
        <f>SUMIF('Carga Diaria'!$B:$B,$A33,'Carga Diaria'!$P:$P)</f>
        <v>0</v>
      </c>
      <c r="O33" s="76">
        <f>N33*'Config  Metas'!$B$10</f>
        <v>0</v>
      </c>
      <c r="P33" s="77" t="str">
        <f t="shared" ref="P33:AB33" si="36">IF(C32=0,"N/A",(C33-C32)/C32)</f>
        <v>N/A</v>
      </c>
      <c r="Q33" s="77" t="str">
        <f t="shared" si="36"/>
        <v>N/A</v>
      </c>
      <c r="R33" s="77" t="str">
        <f t="shared" si="36"/>
        <v>N/A</v>
      </c>
      <c r="S33" s="77" t="str">
        <f t="shared" si="36"/>
        <v>N/A</v>
      </c>
      <c r="T33" s="77" t="str">
        <f t="shared" si="36"/>
        <v>N/A</v>
      </c>
      <c r="U33" s="77" t="str">
        <f t="shared" si="36"/>
        <v>N/A</v>
      </c>
      <c r="V33" s="77" t="str">
        <f t="shared" si="36"/>
        <v>N/A</v>
      </c>
      <c r="W33" s="77" t="str">
        <f t="shared" si="36"/>
        <v>N/A</v>
      </c>
      <c r="X33" s="77" t="str">
        <f t="shared" si="36"/>
        <v>N/A</v>
      </c>
      <c r="Y33" s="77" t="str">
        <f t="shared" si="36"/>
        <v>N/A</v>
      </c>
      <c r="Z33" s="77" t="str">
        <f t="shared" si="36"/>
        <v>N/A</v>
      </c>
      <c r="AA33" s="77" t="str">
        <f t="shared" si="36"/>
        <v>N/A</v>
      </c>
      <c r="AB33" s="77" t="str">
        <f t="shared" si="36"/>
        <v>N/A</v>
      </c>
      <c r="AC33" s="74" t="str">
        <f>IF(E33&lt;'Config  Metas'!$B$2,"🚨 REVISAR HORARIO O SCRIPT",IF(G33&lt;'Config  Metas'!$B$3,"🚨 GUIÓN DÉBIL EN APERTURA",IF(I33&lt;'Config  Metas'!$B$4,"⚠️ FALTA CONFIRMACIÓN PRE-REUNIÓN",IF(K33&lt;'Config  Metas'!$B$5,"🚨 SIN CIERRES DE PRUEBA",IF(M33&lt;'Config  Metas'!$B$6,"🚨 OBJECIONES NO RESUELTAS",IF(N33&lt;'Config  Metas'!$B$7,"🔻 BAJO PISO SEMANAL",IF(AND(E33&gt;='Config  Metas'!$B$2,G33&gt;='Config  Metas'!$B$3,I33&gt;='Config  Metas'!$B$4,K33&gt;='Config  Metas'!$B$5,M33&gt;='Config  Metas'!$B$6,N33&gt;='Config  Metas'!$B$7),"✅ RENDIMIENTO SOBRE META","✅ ESTABLE")))))))</f>
        <v>🚨 REVISAR HORARIO O SCRIPT</v>
      </c>
    </row>
    <row r="34" ht="15.75" customHeight="1">
      <c r="A34" s="74" t="s">
        <v>156</v>
      </c>
      <c r="B34" s="74">
        <f>SUMIF('Carga Diaria'!$B:$B,$A34,'Carga Diaria'!$D:$D)</f>
        <v>0</v>
      </c>
      <c r="C34" s="74">
        <f>SUMIF('Carga Diaria'!$B:$B,$A34,'Carga Diaria'!$E:$E)</f>
        <v>0</v>
      </c>
      <c r="D34" s="74">
        <f>SUMIF('Carga Diaria'!$B:$B,$A34,'Carga Diaria'!$F:$F)</f>
        <v>0</v>
      </c>
      <c r="E34" s="75">
        <f t="shared" si="1"/>
        <v>0</v>
      </c>
      <c r="F34" s="74">
        <f>SUMIF('Carga Diaria'!$B:$B,$A34,'Carga Diaria'!$H:$H)</f>
        <v>0</v>
      </c>
      <c r="G34" s="75">
        <f t="shared" si="2"/>
        <v>0</v>
      </c>
      <c r="H34" s="74">
        <f>SUMIF('Carga Diaria'!$B:$B,$A34,'Carga Diaria'!$J:$J)</f>
        <v>0</v>
      </c>
      <c r="I34" s="75">
        <f t="shared" si="3"/>
        <v>0</v>
      </c>
      <c r="J34" s="74">
        <f>SUMIF('Carga Diaria'!$B:$B,$A34,'Carga Diaria'!$L:$L)</f>
        <v>0</v>
      </c>
      <c r="K34" s="75">
        <f t="shared" si="4"/>
        <v>0</v>
      </c>
      <c r="L34" s="74">
        <f>SUMIF('Carga Diaria'!$B:$B,$A34,'Carga Diaria'!$N:$N)</f>
        <v>0</v>
      </c>
      <c r="M34" s="75">
        <f t="shared" si="5"/>
        <v>0</v>
      </c>
      <c r="N34" s="74">
        <f>SUMIF('Carga Diaria'!$B:$B,$A34,'Carga Diaria'!$P:$P)</f>
        <v>0</v>
      </c>
      <c r="O34" s="76">
        <f>N34*'Config  Metas'!$B$10</f>
        <v>0</v>
      </c>
      <c r="P34" s="77" t="str">
        <f t="shared" ref="P34:AB34" si="37">IF(C33=0,"N/A",(C34-C33)/C33)</f>
        <v>N/A</v>
      </c>
      <c r="Q34" s="77" t="str">
        <f t="shared" si="37"/>
        <v>N/A</v>
      </c>
      <c r="R34" s="77" t="str">
        <f t="shared" si="37"/>
        <v>N/A</v>
      </c>
      <c r="S34" s="77" t="str">
        <f t="shared" si="37"/>
        <v>N/A</v>
      </c>
      <c r="T34" s="77" t="str">
        <f t="shared" si="37"/>
        <v>N/A</v>
      </c>
      <c r="U34" s="77" t="str">
        <f t="shared" si="37"/>
        <v>N/A</v>
      </c>
      <c r="V34" s="77" t="str">
        <f t="shared" si="37"/>
        <v>N/A</v>
      </c>
      <c r="W34" s="77" t="str">
        <f t="shared" si="37"/>
        <v>N/A</v>
      </c>
      <c r="X34" s="77" t="str">
        <f t="shared" si="37"/>
        <v>N/A</v>
      </c>
      <c r="Y34" s="77" t="str">
        <f t="shared" si="37"/>
        <v>N/A</v>
      </c>
      <c r="Z34" s="77" t="str">
        <f t="shared" si="37"/>
        <v>N/A</v>
      </c>
      <c r="AA34" s="77" t="str">
        <f t="shared" si="37"/>
        <v>N/A</v>
      </c>
      <c r="AB34" s="77" t="str">
        <f t="shared" si="37"/>
        <v>N/A</v>
      </c>
      <c r="AC34" s="74" t="str">
        <f>IF(E34&lt;'Config  Metas'!$B$2,"🚨 REVISAR HORARIO O SCRIPT",IF(G34&lt;'Config  Metas'!$B$3,"🚨 GUIÓN DÉBIL EN APERTURA",IF(I34&lt;'Config  Metas'!$B$4,"⚠️ FALTA CONFIRMACIÓN PRE-REUNIÓN",IF(K34&lt;'Config  Metas'!$B$5,"🚨 SIN CIERRES DE PRUEBA",IF(M34&lt;'Config  Metas'!$B$6,"🚨 OBJECIONES NO RESUELTAS",IF(N34&lt;'Config  Metas'!$B$7,"🔻 BAJO PISO SEMANAL",IF(AND(E34&gt;='Config  Metas'!$B$2,G34&gt;='Config  Metas'!$B$3,I34&gt;='Config  Metas'!$B$4,K34&gt;='Config  Metas'!$B$5,M34&gt;='Config  Metas'!$B$6,N34&gt;='Config  Metas'!$B$7),"✅ RENDIMIENTO SOBRE META","✅ ESTABLE")))))))</f>
        <v>🚨 REVISAR HORARIO O SCRIPT</v>
      </c>
    </row>
    <row r="35" ht="15.75" customHeight="1">
      <c r="A35" s="74" t="s">
        <v>157</v>
      </c>
      <c r="B35" s="74">
        <f>SUMIF('Carga Diaria'!$B:$B,$A35,'Carga Diaria'!$D:$D)</f>
        <v>0</v>
      </c>
      <c r="C35" s="74">
        <f>SUMIF('Carga Diaria'!$B:$B,$A35,'Carga Diaria'!$E:$E)</f>
        <v>0</v>
      </c>
      <c r="D35" s="74">
        <f>SUMIF('Carga Diaria'!$B:$B,$A35,'Carga Diaria'!$F:$F)</f>
        <v>0</v>
      </c>
      <c r="E35" s="75">
        <f t="shared" si="1"/>
        <v>0</v>
      </c>
      <c r="F35" s="74">
        <f>SUMIF('Carga Diaria'!$B:$B,$A35,'Carga Diaria'!$H:$H)</f>
        <v>0</v>
      </c>
      <c r="G35" s="75">
        <f t="shared" si="2"/>
        <v>0</v>
      </c>
      <c r="H35" s="74">
        <f>SUMIF('Carga Diaria'!$B:$B,$A35,'Carga Diaria'!$J:$J)</f>
        <v>0</v>
      </c>
      <c r="I35" s="75">
        <f t="shared" si="3"/>
        <v>0</v>
      </c>
      <c r="J35" s="74">
        <f>SUMIF('Carga Diaria'!$B:$B,$A35,'Carga Diaria'!$L:$L)</f>
        <v>0</v>
      </c>
      <c r="K35" s="75">
        <f t="shared" si="4"/>
        <v>0</v>
      </c>
      <c r="L35" s="74">
        <f>SUMIF('Carga Diaria'!$B:$B,$A35,'Carga Diaria'!$N:$N)</f>
        <v>0</v>
      </c>
      <c r="M35" s="75">
        <f t="shared" si="5"/>
        <v>0</v>
      </c>
      <c r="N35" s="74">
        <f>SUMIF('Carga Diaria'!$B:$B,$A35,'Carga Diaria'!$P:$P)</f>
        <v>0</v>
      </c>
      <c r="O35" s="76">
        <f>N35*'Config  Metas'!$B$10</f>
        <v>0</v>
      </c>
      <c r="P35" s="77" t="str">
        <f t="shared" ref="P35:AB35" si="38">IF(C34=0,"N/A",(C35-C34)/C34)</f>
        <v>N/A</v>
      </c>
      <c r="Q35" s="77" t="str">
        <f t="shared" si="38"/>
        <v>N/A</v>
      </c>
      <c r="R35" s="77" t="str">
        <f t="shared" si="38"/>
        <v>N/A</v>
      </c>
      <c r="S35" s="77" t="str">
        <f t="shared" si="38"/>
        <v>N/A</v>
      </c>
      <c r="T35" s="77" t="str">
        <f t="shared" si="38"/>
        <v>N/A</v>
      </c>
      <c r="U35" s="77" t="str">
        <f t="shared" si="38"/>
        <v>N/A</v>
      </c>
      <c r="V35" s="77" t="str">
        <f t="shared" si="38"/>
        <v>N/A</v>
      </c>
      <c r="W35" s="77" t="str">
        <f t="shared" si="38"/>
        <v>N/A</v>
      </c>
      <c r="X35" s="77" t="str">
        <f t="shared" si="38"/>
        <v>N/A</v>
      </c>
      <c r="Y35" s="77" t="str">
        <f t="shared" si="38"/>
        <v>N/A</v>
      </c>
      <c r="Z35" s="77" t="str">
        <f t="shared" si="38"/>
        <v>N/A</v>
      </c>
      <c r="AA35" s="77" t="str">
        <f t="shared" si="38"/>
        <v>N/A</v>
      </c>
      <c r="AB35" s="77" t="str">
        <f t="shared" si="38"/>
        <v>N/A</v>
      </c>
      <c r="AC35" s="74" t="str">
        <f>IF(E35&lt;'Config  Metas'!$B$2,"🚨 REVISAR HORARIO O SCRIPT",IF(G35&lt;'Config  Metas'!$B$3,"🚨 GUIÓN DÉBIL EN APERTURA",IF(I35&lt;'Config  Metas'!$B$4,"⚠️ FALTA CONFIRMACIÓN PRE-REUNIÓN",IF(K35&lt;'Config  Metas'!$B$5,"🚨 SIN CIERRES DE PRUEBA",IF(M35&lt;'Config  Metas'!$B$6,"🚨 OBJECIONES NO RESUELTAS",IF(N35&lt;'Config  Metas'!$B$7,"🔻 BAJO PISO SEMANAL",IF(AND(E35&gt;='Config  Metas'!$B$2,G35&gt;='Config  Metas'!$B$3,I35&gt;='Config  Metas'!$B$4,K35&gt;='Config  Metas'!$B$5,M35&gt;='Config  Metas'!$B$6,N35&gt;='Config  Metas'!$B$7),"✅ RENDIMIENTO SOBRE META","✅ ESTABLE")))))))</f>
        <v>🚨 REVISAR HORARIO O SCRIPT</v>
      </c>
    </row>
    <row r="36" ht="15.75" customHeight="1">
      <c r="A36" s="74" t="s">
        <v>158</v>
      </c>
      <c r="B36" s="74">
        <f>SUMIF('Carga Diaria'!$B:$B,$A36,'Carga Diaria'!$D:$D)</f>
        <v>0</v>
      </c>
      <c r="C36" s="74">
        <f>SUMIF('Carga Diaria'!$B:$B,$A36,'Carga Diaria'!$E:$E)</f>
        <v>0</v>
      </c>
      <c r="D36" s="74">
        <f>SUMIF('Carga Diaria'!$B:$B,$A36,'Carga Diaria'!$F:$F)</f>
        <v>0</v>
      </c>
      <c r="E36" s="75">
        <f t="shared" si="1"/>
        <v>0</v>
      </c>
      <c r="F36" s="74">
        <f>SUMIF('Carga Diaria'!$B:$B,$A36,'Carga Diaria'!$H:$H)</f>
        <v>0</v>
      </c>
      <c r="G36" s="75">
        <f t="shared" si="2"/>
        <v>0</v>
      </c>
      <c r="H36" s="74">
        <f>SUMIF('Carga Diaria'!$B:$B,$A36,'Carga Diaria'!$J:$J)</f>
        <v>0</v>
      </c>
      <c r="I36" s="75">
        <f t="shared" si="3"/>
        <v>0</v>
      </c>
      <c r="J36" s="74">
        <f>SUMIF('Carga Diaria'!$B:$B,$A36,'Carga Diaria'!$L:$L)</f>
        <v>0</v>
      </c>
      <c r="K36" s="75">
        <f t="shared" si="4"/>
        <v>0</v>
      </c>
      <c r="L36" s="74">
        <f>SUMIF('Carga Diaria'!$B:$B,$A36,'Carga Diaria'!$N:$N)</f>
        <v>0</v>
      </c>
      <c r="M36" s="75">
        <f t="shared" si="5"/>
        <v>0</v>
      </c>
      <c r="N36" s="74">
        <f>SUMIF('Carga Diaria'!$B:$B,$A36,'Carga Diaria'!$P:$P)</f>
        <v>0</v>
      </c>
      <c r="O36" s="76">
        <f>N36*'Config  Metas'!$B$10</f>
        <v>0</v>
      </c>
      <c r="P36" s="77" t="str">
        <f t="shared" ref="P36:AB36" si="39">IF(C35=0,"N/A",(C36-C35)/C35)</f>
        <v>N/A</v>
      </c>
      <c r="Q36" s="77" t="str">
        <f t="shared" si="39"/>
        <v>N/A</v>
      </c>
      <c r="R36" s="77" t="str">
        <f t="shared" si="39"/>
        <v>N/A</v>
      </c>
      <c r="S36" s="77" t="str">
        <f t="shared" si="39"/>
        <v>N/A</v>
      </c>
      <c r="T36" s="77" t="str">
        <f t="shared" si="39"/>
        <v>N/A</v>
      </c>
      <c r="U36" s="77" t="str">
        <f t="shared" si="39"/>
        <v>N/A</v>
      </c>
      <c r="V36" s="77" t="str">
        <f t="shared" si="39"/>
        <v>N/A</v>
      </c>
      <c r="W36" s="77" t="str">
        <f t="shared" si="39"/>
        <v>N/A</v>
      </c>
      <c r="X36" s="77" t="str">
        <f t="shared" si="39"/>
        <v>N/A</v>
      </c>
      <c r="Y36" s="77" t="str">
        <f t="shared" si="39"/>
        <v>N/A</v>
      </c>
      <c r="Z36" s="77" t="str">
        <f t="shared" si="39"/>
        <v>N/A</v>
      </c>
      <c r="AA36" s="77" t="str">
        <f t="shared" si="39"/>
        <v>N/A</v>
      </c>
      <c r="AB36" s="77" t="str">
        <f t="shared" si="39"/>
        <v>N/A</v>
      </c>
      <c r="AC36" s="74" t="str">
        <f>IF(E36&lt;'Config  Metas'!$B$2,"🚨 REVISAR HORARIO O SCRIPT",IF(G36&lt;'Config  Metas'!$B$3,"🚨 GUIÓN DÉBIL EN APERTURA",IF(I36&lt;'Config  Metas'!$B$4,"⚠️ FALTA CONFIRMACIÓN PRE-REUNIÓN",IF(K36&lt;'Config  Metas'!$B$5,"🚨 SIN CIERRES DE PRUEBA",IF(M36&lt;'Config  Metas'!$B$6,"🚨 OBJECIONES NO RESUELTAS",IF(N36&lt;'Config  Metas'!$B$7,"🔻 BAJO PISO SEMANAL",IF(AND(E36&gt;='Config  Metas'!$B$2,G36&gt;='Config  Metas'!$B$3,I36&gt;='Config  Metas'!$B$4,K36&gt;='Config  Metas'!$B$5,M36&gt;='Config  Metas'!$B$6,N36&gt;='Config  Metas'!$B$7),"✅ RENDIMIENTO SOBRE META","✅ ESTABLE")))))))</f>
        <v>🚨 REVISAR HORARIO O SCRIPT</v>
      </c>
    </row>
    <row r="37" ht="15.75" customHeight="1">
      <c r="A37" s="74" t="s">
        <v>159</v>
      </c>
      <c r="B37" s="74">
        <f>SUMIF('Carga Diaria'!$B:$B,$A37,'Carga Diaria'!$D:$D)</f>
        <v>0</v>
      </c>
      <c r="C37" s="74">
        <f>SUMIF('Carga Diaria'!$B:$B,$A37,'Carga Diaria'!$E:$E)</f>
        <v>0</v>
      </c>
      <c r="D37" s="74">
        <f>SUMIF('Carga Diaria'!$B:$B,$A37,'Carga Diaria'!$F:$F)</f>
        <v>0</v>
      </c>
      <c r="E37" s="75">
        <f t="shared" si="1"/>
        <v>0</v>
      </c>
      <c r="F37" s="74">
        <f>SUMIF('Carga Diaria'!$B:$B,$A37,'Carga Diaria'!$H:$H)</f>
        <v>0</v>
      </c>
      <c r="G37" s="75">
        <f t="shared" si="2"/>
        <v>0</v>
      </c>
      <c r="H37" s="74">
        <f>SUMIF('Carga Diaria'!$B:$B,$A37,'Carga Diaria'!$J:$J)</f>
        <v>0</v>
      </c>
      <c r="I37" s="75">
        <f t="shared" si="3"/>
        <v>0</v>
      </c>
      <c r="J37" s="74">
        <f>SUMIF('Carga Diaria'!$B:$B,$A37,'Carga Diaria'!$L:$L)</f>
        <v>0</v>
      </c>
      <c r="K37" s="75">
        <f t="shared" si="4"/>
        <v>0</v>
      </c>
      <c r="L37" s="74">
        <f>SUMIF('Carga Diaria'!$B:$B,$A37,'Carga Diaria'!$N:$N)</f>
        <v>0</v>
      </c>
      <c r="M37" s="75">
        <f t="shared" si="5"/>
        <v>0</v>
      </c>
      <c r="N37" s="74">
        <f>SUMIF('Carga Diaria'!$B:$B,$A37,'Carga Diaria'!$P:$P)</f>
        <v>0</v>
      </c>
      <c r="O37" s="76">
        <f>N37*'Config  Metas'!$B$10</f>
        <v>0</v>
      </c>
      <c r="P37" s="77" t="str">
        <f t="shared" ref="P37:AB37" si="40">IF(C36=0,"N/A",(C37-C36)/C36)</f>
        <v>N/A</v>
      </c>
      <c r="Q37" s="77" t="str">
        <f t="shared" si="40"/>
        <v>N/A</v>
      </c>
      <c r="R37" s="77" t="str">
        <f t="shared" si="40"/>
        <v>N/A</v>
      </c>
      <c r="S37" s="77" t="str">
        <f t="shared" si="40"/>
        <v>N/A</v>
      </c>
      <c r="T37" s="77" t="str">
        <f t="shared" si="40"/>
        <v>N/A</v>
      </c>
      <c r="U37" s="77" t="str">
        <f t="shared" si="40"/>
        <v>N/A</v>
      </c>
      <c r="V37" s="77" t="str">
        <f t="shared" si="40"/>
        <v>N/A</v>
      </c>
      <c r="W37" s="77" t="str">
        <f t="shared" si="40"/>
        <v>N/A</v>
      </c>
      <c r="X37" s="77" t="str">
        <f t="shared" si="40"/>
        <v>N/A</v>
      </c>
      <c r="Y37" s="77" t="str">
        <f t="shared" si="40"/>
        <v>N/A</v>
      </c>
      <c r="Z37" s="77" t="str">
        <f t="shared" si="40"/>
        <v>N/A</v>
      </c>
      <c r="AA37" s="77" t="str">
        <f t="shared" si="40"/>
        <v>N/A</v>
      </c>
      <c r="AB37" s="77" t="str">
        <f t="shared" si="40"/>
        <v>N/A</v>
      </c>
      <c r="AC37" s="74" t="str">
        <f>IF(E37&lt;'Config  Metas'!$B$2,"🚨 REVISAR HORARIO O SCRIPT",IF(G37&lt;'Config  Metas'!$B$3,"🚨 GUIÓN DÉBIL EN APERTURA",IF(I37&lt;'Config  Metas'!$B$4,"⚠️ FALTA CONFIRMACIÓN PRE-REUNIÓN",IF(K37&lt;'Config  Metas'!$B$5,"🚨 SIN CIERRES DE PRUEBA",IF(M37&lt;'Config  Metas'!$B$6,"🚨 OBJECIONES NO RESUELTAS",IF(N37&lt;'Config  Metas'!$B$7,"🔻 BAJO PISO SEMANAL",IF(AND(E37&gt;='Config  Metas'!$B$2,G37&gt;='Config  Metas'!$B$3,I37&gt;='Config  Metas'!$B$4,K37&gt;='Config  Metas'!$B$5,M37&gt;='Config  Metas'!$B$6,N37&gt;='Config  Metas'!$B$7),"✅ RENDIMIENTO SOBRE META","✅ ESTABLE")))))))</f>
        <v>🚨 REVISAR HORARIO O SCRIPT</v>
      </c>
    </row>
    <row r="38" ht="15.75" customHeight="1">
      <c r="A38" s="74" t="s">
        <v>160</v>
      </c>
      <c r="B38" s="74">
        <f>SUMIF('Carga Diaria'!$B:$B,$A38,'Carga Diaria'!$D:$D)</f>
        <v>0</v>
      </c>
      <c r="C38" s="74">
        <f>SUMIF('Carga Diaria'!$B:$B,$A38,'Carga Diaria'!$E:$E)</f>
        <v>0</v>
      </c>
      <c r="D38" s="74">
        <f>SUMIF('Carga Diaria'!$B:$B,$A38,'Carga Diaria'!$F:$F)</f>
        <v>0</v>
      </c>
      <c r="E38" s="75">
        <f t="shared" si="1"/>
        <v>0</v>
      </c>
      <c r="F38" s="74">
        <f>SUMIF('Carga Diaria'!$B:$B,$A38,'Carga Diaria'!$H:$H)</f>
        <v>0</v>
      </c>
      <c r="G38" s="75">
        <f t="shared" si="2"/>
        <v>0</v>
      </c>
      <c r="H38" s="74">
        <f>SUMIF('Carga Diaria'!$B:$B,$A38,'Carga Diaria'!$J:$J)</f>
        <v>0</v>
      </c>
      <c r="I38" s="75">
        <f t="shared" si="3"/>
        <v>0</v>
      </c>
      <c r="J38" s="74">
        <f>SUMIF('Carga Diaria'!$B:$B,$A38,'Carga Diaria'!$L:$L)</f>
        <v>0</v>
      </c>
      <c r="K38" s="75">
        <f t="shared" si="4"/>
        <v>0</v>
      </c>
      <c r="L38" s="74">
        <f>SUMIF('Carga Diaria'!$B:$B,$A38,'Carga Diaria'!$N:$N)</f>
        <v>0</v>
      </c>
      <c r="M38" s="75">
        <f t="shared" si="5"/>
        <v>0</v>
      </c>
      <c r="N38" s="74">
        <f>SUMIF('Carga Diaria'!$B:$B,$A38,'Carga Diaria'!$P:$P)</f>
        <v>0</v>
      </c>
      <c r="O38" s="76">
        <f>N38*'Config  Metas'!$B$10</f>
        <v>0</v>
      </c>
      <c r="P38" s="77" t="str">
        <f t="shared" ref="P38:AB38" si="41">IF(C37=0,"N/A",(C38-C37)/C37)</f>
        <v>N/A</v>
      </c>
      <c r="Q38" s="77" t="str">
        <f t="shared" si="41"/>
        <v>N/A</v>
      </c>
      <c r="R38" s="77" t="str">
        <f t="shared" si="41"/>
        <v>N/A</v>
      </c>
      <c r="S38" s="77" t="str">
        <f t="shared" si="41"/>
        <v>N/A</v>
      </c>
      <c r="T38" s="77" t="str">
        <f t="shared" si="41"/>
        <v>N/A</v>
      </c>
      <c r="U38" s="77" t="str">
        <f t="shared" si="41"/>
        <v>N/A</v>
      </c>
      <c r="V38" s="77" t="str">
        <f t="shared" si="41"/>
        <v>N/A</v>
      </c>
      <c r="W38" s="77" t="str">
        <f t="shared" si="41"/>
        <v>N/A</v>
      </c>
      <c r="X38" s="77" t="str">
        <f t="shared" si="41"/>
        <v>N/A</v>
      </c>
      <c r="Y38" s="77" t="str">
        <f t="shared" si="41"/>
        <v>N/A</v>
      </c>
      <c r="Z38" s="77" t="str">
        <f t="shared" si="41"/>
        <v>N/A</v>
      </c>
      <c r="AA38" s="77" t="str">
        <f t="shared" si="41"/>
        <v>N/A</v>
      </c>
      <c r="AB38" s="77" t="str">
        <f t="shared" si="41"/>
        <v>N/A</v>
      </c>
      <c r="AC38" s="74" t="str">
        <f>IF(E38&lt;'Config  Metas'!$B$2,"🚨 REVISAR HORARIO O SCRIPT",IF(G38&lt;'Config  Metas'!$B$3,"🚨 GUIÓN DÉBIL EN APERTURA",IF(I38&lt;'Config  Metas'!$B$4,"⚠️ FALTA CONFIRMACIÓN PRE-REUNIÓN",IF(K38&lt;'Config  Metas'!$B$5,"🚨 SIN CIERRES DE PRUEBA",IF(M38&lt;'Config  Metas'!$B$6,"🚨 OBJECIONES NO RESUELTAS",IF(N38&lt;'Config  Metas'!$B$7,"🔻 BAJO PISO SEMANAL",IF(AND(E38&gt;='Config  Metas'!$B$2,G38&gt;='Config  Metas'!$B$3,I38&gt;='Config  Metas'!$B$4,K38&gt;='Config  Metas'!$B$5,M38&gt;='Config  Metas'!$B$6,N38&gt;='Config  Metas'!$B$7),"✅ RENDIMIENTO SOBRE META","✅ ESTABLE")))))))</f>
        <v>🚨 REVISAR HORARIO O SCRIPT</v>
      </c>
    </row>
    <row r="39" ht="15.75" customHeight="1">
      <c r="A39" s="74" t="s">
        <v>161</v>
      </c>
      <c r="B39" s="74">
        <f>SUMIF('Carga Diaria'!$B:$B,$A39,'Carga Diaria'!$D:$D)</f>
        <v>0</v>
      </c>
      <c r="C39" s="74">
        <f>SUMIF('Carga Diaria'!$B:$B,$A39,'Carga Diaria'!$E:$E)</f>
        <v>0</v>
      </c>
      <c r="D39" s="74">
        <f>SUMIF('Carga Diaria'!$B:$B,$A39,'Carga Diaria'!$F:$F)</f>
        <v>0</v>
      </c>
      <c r="E39" s="75">
        <f t="shared" si="1"/>
        <v>0</v>
      </c>
      <c r="F39" s="74">
        <f>SUMIF('Carga Diaria'!$B:$B,$A39,'Carga Diaria'!$H:$H)</f>
        <v>0</v>
      </c>
      <c r="G39" s="75">
        <f t="shared" si="2"/>
        <v>0</v>
      </c>
      <c r="H39" s="74">
        <f>SUMIF('Carga Diaria'!$B:$B,$A39,'Carga Diaria'!$J:$J)</f>
        <v>0</v>
      </c>
      <c r="I39" s="75">
        <f t="shared" si="3"/>
        <v>0</v>
      </c>
      <c r="J39" s="74">
        <f>SUMIF('Carga Diaria'!$B:$B,$A39,'Carga Diaria'!$L:$L)</f>
        <v>0</v>
      </c>
      <c r="K39" s="75">
        <f t="shared" si="4"/>
        <v>0</v>
      </c>
      <c r="L39" s="74">
        <f>SUMIF('Carga Diaria'!$B:$B,$A39,'Carga Diaria'!$N:$N)</f>
        <v>0</v>
      </c>
      <c r="M39" s="75">
        <f t="shared" si="5"/>
        <v>0</v>
      </c>
      <c r="N39" s="74">
        <f>SUMIF('Carga Diaria'!$B:$B,$A39,'Carga Diaria'!$P:$P)</f>
        <v>0</v>
      </c>
      <c r="O39" s="76">
        <f>N39*'Config  Metas'!$B$10</f>
        <v>0</v>
      </c>
      <c r="P39" s="77" t="str">
        <f t="shared" ref="P39:AB39" si="42">IF(C38=0,"N/A",(C39-C38)/C38)</f>
        <v>N/A</v>
      </c>
      <c r="Q39" s="77" t="str">
        <f t="shared" si="42"/>
        <v>N/A</v>
      </c>
      <c r="R39" s="77" t="str">
        <f t="shared" si="42"/>
        <v>N/A</v>
      </c>
      <c r="S39" s="77" t="str">
        <f t="shared" si="42"/>
        <v>N/A</v>
      </c>
      <c r="T39" s="77" t="str">
        <f t="shared" si="42"/>
        <v>N/A</v>
      </c>
      <c r="U39" s="77" t="str">
        <f t="shared" si="42"/>
        <v>N/A</v>
      </c>
      <c r="V39" s="77" t="str">
        <f t="shared" si="42"/>
        <v>N/A</v>
      </c>
      <c r="W39" s="77" t="str">
        <f t="shared" si="42"/>
        <v>N/A</v>
      </c>
      <c r="X39" s="77" t="str">
        <f t="shared" si="42"/>
        <v>N/A</v>
      </c>
      <c r="Y39" s="77" t="str">
        <f t="shared" si="42"/>
        <v>N/A</v>
      </c>
      <c r="Z39" s="77" t="str">
        <f t="shared" si="42"/>
        <v>N/A</v>
      </c>
      <c r="AA39" s="77" t="str">
        <f t="shared" si="42"/>
        <v>N/A</v>
      </c>
      <c r="AB39" s="77" t="str">
        <f t="shared" si="42"/>
        <v>N/A</v>
      </c>
      <c r="AC39" s="74" t="str">
        <f>IF(E39&lt;'Config  Metas'!$B$2,"🚨 REVISAR HORARIO O SCRIPT",IF(G39&lt;'Config  Metas'!$B$3,"🚨 GUIÓN DÉBIL EN APERTURA",IF(I39&lt;'Config  Metas'!$B$4,"⚠️ FALTA CONFIRMACIÓN PRE-REUNIÓN",IF(K39&lt;'Config  Metas'!$B$5,"🚨 SIN CIERRES DE PRUEBA",IF(M39&lt;'Config  Metas'!$B$6,"🚨 OBJECIONES NO RESUELTAS",IF(N39&lt;'Config  Metas'!$B$7,"🔻 BAJO PISO SEMANAL",IF(AND(E39&gt;='Config  Metas'!$B$2,G39&gt;='Config  Metas'!$B$3,I39&gt;='Config  Metas'!$B$4,K39&gt;='Config  Metas'!$B$5,M39&gt;='Config  Metas'!$B$6,N39&gt;='Config  Metas'!$B$7),"✅ RENDIMIENTO SOBRE META","✅ ESTABLE")))))))</f>
        <v>🚨 REVISAR HORARIO O SCRIPT</v>
      </c>
    </row>
    <row r="40" ht="15.75" customHeight="1">
      <c r="A40" s="74" t="s">
        <v>162</v>
      </c>
      <c r="B40" s="74">
        <f>SUMIF('Carga Diaria'!$B:$B,$A40,'Carga Diaria'!$D:$D)</f>
        <v>0</v>
      </c>
      <c r="C40" s="74">
        <f>SUMIF('Carga Diaria'!$B:$B,$A40,'Carga Diaria'!$E:$E)</f>
        <v>0</v>
      </c>
      <c r="D40" s="74">
        <f>SUMIF('Carga Diaria'!$B:$B,$A40,'Carga Diaria'!$F:$F)</f>
        <v>0</v>
      </c>
      <c r="E40" s="75">
        <f t="shared" si="1"/>
        <v>0</v>
      </c>
      <c r="F40" s="74">
        <f>SUMIF('Carga Diaria'!$B:$B,$A40,'Carga Diaria'!$H:$H)</f>
        <v>0</v>
      </c>
      <c r="G40" s="75">
        <f t="shared" si="2"/>
        <v>0</v>
      </c>
      <c r="H40" s="74">
        <f>SUMIF('Carga Diaria'!$B:$B,$A40,'Carga Diaria'!$J:$J)</f>
        <v>0</v>
      </c>
      <c r="I40" s="75">
        <f t="shared" si="3"/>
        <v>0</v>
      </c>
      <c r="J40" s="74">
        <f>SUMIF('Carga Diaria'!$B:$B,$A40,'Carga Diaria'!$L:$L)</f>
        <v>0</v>
      </c>
      <c r="K40" s="75">
        <f t="shared" si="4"/>
        <v>0</v>
      </c>
      <c r="L40" s="74">
        <f>SUMIF('Carga Diaria'!$B:$B,$A40,'Carga Diaria'!$N:$N)</f>
        <v>0</v>
      </c>
      <c r="M40" s="75">
        <f t="shared" si="5"/>
        <v>0</v>
      </c>
      <c r="N40" s="74">
        <f>SUMIF('Carga Diaria'!$B:$B,$A40,'Carga Diaria'!$P:$P)</f>
        <v>0</v>
      </c>
      <c r="O40" s="76">
        <f>N40*'Config  Metas'!$B$10</f>
        <v>0</v>
      </c>
      <c r="P40" s="77" t="str">
        <f t="shared" ref="P40:AB40" si="43">IF(C39=0,"N/A",(C40-C39)/C39)</f>
        <v>N/A</v>
      </c>
      <c r="Q40" s="77" t="str">
        <f t="shared" si="43"/>
        <v>N/A</v>
      </c>
      <c r="R40" s="77" t="str">
        <f t="shared" si="43"/>
        <v>N/A</v>
      </c>
      <c r="S40" s="77" t="str">
        <f t="shared" si="43"/>
        <v>N/A</v>
      </c>
      <c r="T40" s="77" t="str">
        <f t="shared" si="43"/>
        <v>N/A</v>
      </c>
      <c r="U40" s="77" t="str">
        <f t="shared" si="43"/>
        <v>N/A</v>
      </c>
      <c r="V40" s="77" t="str">
        <f t="shared" si="43"/>
        <v>N/A</v>
      </c>
      <c r="W40" s="77" t="str">
        <f t="shared" si="43"/>
        <v>N/A</v>
      </c>
      <c r="X40" s="77" t="str">
        <f t="shared" si="43"/>
        <v>N/A</v>
      </c>
      <c r="Y40" s="77" t="str">
        <f t="shared" si="43"/>
        <v>N/A</v>
      </c>
      <c r="Z40" s="77" t="str">
        <f t="shared" si="43"/>
        <v>N/A</v>
      </c>
      <c r="AA40" s="77" t="str">
        <f t="shared" si="43"/>
        <v>N/A</v>
      </c>
      <c r="AB40" s="77" t="str">
        <f t="shared" si="43"/>
        <v>N/A</v>
      </c>
      <c r="AC40" s="74" t="str">
        <f>IF(E40&lt;'Config  Metas'!$B$2,"🚨 REVISAR HORARIO O SCRIPT",IF(G40&lt;'Config  Metas'!$B$3,"🚨 GUIÓN DÉBIL EN APERTURA",IF(I40&lt;'Config  Metas'!$B$4,"⚠️ FALTA CONFIRMACIÓN PRE-REUNIÓN",IF(K40&lt;'Config  Metas'!$B$5,"🚨 SIN CIERRES DE PRUEBA",IF(M40&lt;'Config  Metas'!$B$6,"🚨 OBJECIONES NO RESUELTAS",IF(N40&lt;'Config  Metas'!$B$7,"🔻 BAJO PISO SEMANAL",IF(AND(E40&gt;='Config  Metas'!$B$2,G40&gt;='Config  Metas'!$B$3,I40&gt;='Config  Metas'!$B$4,K40&gt;='Config  Metas'!$B$5,M40&gt;='Config  Metas'!$B$6,N40&gt;='Config  Metas'!$B$7),"✅ RENDIMIENTO SOBRE META","✅ ESTABLE")))))))</f>
        <v>🚨 REVISAR HORARIO O SCRIPT</v>
      </c>
    </row>
    <row r="41" ht="15.75" customHeight="1">
      <c r="A41" s="74" t="s">
        <v>163</v>
      </c>
      <c r="B41" s="74">
        <f>SUMIF('Carga Diaria'!$B:$B,$A41,'Carga Diaria'!$D:$D)</f>
        <v>0</v>
      </c>
      <c r="C41" s="74">
        <f>SUMIF('Carga Diaria'!$B:$B,$A41,'Carga Diaria'!$E:$E)</f>
        <v>0</v>
      </c>
      <c r="D41" s="74">
        <f>SUMIF('Carga Diaria'!$B:$B,$A41,'Carga Diaria'!$F:$F)</f>
        <v>0</v>
      </c>
      <c r="E41" s="75">
        <f t="shared" si="1"/>
        <v>0</v>
      </c>
      <c r="F41" s="74">
        <f>SUMIF('Carga Diaria'!$B:$B,$A41,'Carga Diaria'!$H:$H)</f>
        <v>0</v>
      </c>
      <c r="G41" s="75">
        <f t="shared" si="2"/>
        <v>0</v>
      </c>
      <c r="H41" s="74">
        <f>SUMIF('Carga Diaria'!$B:$B,$A41,'Carga Diaria'!$J:$J)</f>
        <v>0</v>
      </c>
      <c r="I41" s="75">
        <f t="shared" si="3"/>
        <v>0</v>
      </c>
      <c r="J41" s="74">
        <f>SUMIF('Carga Diaria'!$B:$B,$A41,'Carga Diaria'!$L:$L)</f>
        <v>0</v>
      </c>
      <c r="K41" s="75">
        <f t="shared" si="4"/>
        <v>0</v>
      </c>
      <c r="L41" s="74">
        <f>SUMIF('Carga Diaria'!$B:$B,$A41,'Carga Diaria'!$N:$N)</f>
        <v>0</v>
      </c>
      <c r="M41" s="75">
        <f t="shared" si="5"/>
        <v>0</v>
      </c>
      <c r="N41" s="74">
        <f>SUMIF('Carga Diaria'!$B:$B,$A41,'Carga Diaria'!$P:$P)</f>
        <v>0</v>
      </c>
      <c r="O41" s="76">
        <f>N41*'Config  Metas'!$B$10</f>
        <v>0</v>
      </c>
      <c r="P41" s="77" t="str">
        <f t="shared" ref="P41:AB41" si="44">IF(C40=0,"N/A",(C41-C40)/C40)</f>
        <v>N/A</v>
      </c>
      <c r="Q41" s="77" t="str">
        <f t="shared" si="44"/>
        <v>N/A</v>
      </c>
      <c r="R41" s="77" t="str">
        <f t="shared" si="44"/>
        <v>N/A</v>
      </c>
      <c r="S41" s="77" t="str">
        <f t="shared" si="44"/>
        <v>N/A</v>
      </c>
      <c r="T41" s="77" t="str">
        <f t="shared" si="44"/>
        <v>N/A</v>
      </c>
      <c r="U41" s="77" t="str">
        <f t="shared" si="44"/>
        <v>N/A</v>
      </c>
      <c r="V41" s="77" t="str">
        <f t="shared" si="44"/>
        <v>N/A</v>
      </c>
      <c r="W41" s="77" t="str">
        <f t="shared" si="44"/>
        <v>N/A</v>
      </c>
      <c r="X41" s="77" t="str">
        <f t="shared" si="44"/>
        <v>N/A</v>
      </c>
      <c r="Y41" s="77" t="str">
        <f t="shared" si="44"/>
        <v>N/A</v>
      </c>
      <c r="Z41" s="77" t="str">
        <f t="shared" si="44"/>
        <v>N/A</v>
      </c>
      <c r="AA41" s="77" t="str">
        <f t="shared" si="44"/>
        <v>N/A</v>
      </c>
      <c r="AB41" s="77" t="str">
        <f t="shared" si="44"/>
        <v>N/A</v>
      </c>
      <c r="AC41" s="74" t="str">
        <f>IF(E41&lt;'Config  Metas'!$B$2,"🚨 REVISAR HORARIO O SCRIPT",IF(G41&lt;'Config  Metas'!$B$3,"🚨 GUIÓN DÉBIL EN APERTURA",IF(I41&lt;'Config  Metas'!$B$4,"⚠️ FALTA CONFIRMACIÓN PRE-REUNIÓN",IF(K41&lt;'Config  Metas'!$B$5,"🚨 SIN CIERRES DE PRUEBA",IF(M41&lt;'Config  Metas'!$B$6,"🚨 OBJECIONES NO RESUELTAS",IF(N41&lt;'Config  Metas'!$B$7,"🔻 BAJO PISO SEMANAL",IF(AND(E41&gt;='Config  Metas'!$B$2,G41&gt;='Config  Metas'!$B$3,I41&gt;='Config  Metas'!$B$4,K41&gt;='Config  Metas'!$B$5,M41&gt;='Config  Metas'!$B$6,N41&gt;='Config  Metas'!$B$7),"✅ RENDIMIENTO SOBRE META","✅ ESTABLE")))))))</f>
        <v>🚨 REVISAR HORARIO O SCRIPT</v>
      </c>
    </row>
    <row r="42" ht="15.75" customHeight="1">
      <c r="A42" s="74" t="s">
        <v>164</v>
      </c>
      <c r="B42" s="74">
        <f>SUMIF('Carga Diaria'!$B:$B,$A42,'Carga Diaria'!$D:$D)</f>
        <v>0</v>
      </c>
      <c r="C42" s="74">
        <f>SUMIF('Carga Diaria'!$B:$B,$A42,'Carga Diaria'!$E:$E)</f>
        <v>0</v>
      </c>
      <c r="D42" s="74">
        <f>SUMIF('Carga Diaria'!$B:$B,$A42,'Carga Diaria'!$F:$F)</f>
        <v>0</v>
      </c>
      <c r="E42" s="75">
        <f t="shared" si="1"/>
        <v>0</v>
      </c>
      <c r="F42" s="74">
        <f>SUMIF('Carga Diaria'!$B:$B,$A42,'Carga Diaria'!$H:$H)</f>
        <v>0</v>
      </c>
      <c r="G42" s="75">
        <f t="shared" si="2"/>
        <v>0</v>
      </c>
      <c r="H42" s="74">
        <f>SUMIF('Carga Diaria'!$B:$B,$A42,'Carga Diaria'!$J:$J)</f>
        <v>0</v>
      </c>
      <c r="I42" s="75">
        <f t="shared" si="3"/>
        <v>0</v>
      </c>
      <c r="J42" s="74">
        <f>SUMIF('Carga Diaria'!$B:$B,$A42,'Carga Diaria'!$L:$L)</f>
        <v>0</v>
      </c>
      <c r="K42" s="75">
        <f t="shared" si="4"/>
        <v>0</v>
      </c>
      <c r="L42" s="74">
        <f>SUMIF('Carga Diaria'!$B:$B,$A42,'Carga Diaria'!$N:$N)</f>
        <v>0</v>
      </c>
      <c r="M42" s="75">
        <f t="shared" si="5"/>
        <v>0</v>
      </c>
      <c r="N42" s="74">
        <f>SUMIF('Carga Diaria'!$B:$B,$A42,'Carga Diaria'!$P:$P)</f>
        <v>0</v>
      </c>
      <c r="O42" s="76">
        <f>N42*'Config  Metas'!$B$10</f>
        <v>0</v>
      </c>
      <c r="P42" s="77" t="str">
        <f t="shared" ref="P42:AB42" si="45">IF(C41=0,"N/A",(C42-C41)/C41)</f>
        <v>N/A</v>
      </c>
      <c r="Q42" s="77" t="str">
        <f t="shared" si="45"/>
        <v>N/A</v>
      </c>
      <c r="R42" s="77" t="str">
        <f t="shared" si="45"/>
        <v>N/A</v>
      </c>
      <c r="S42" s="77" t="str">
        <f t="shared" si="45"/>
        <v>N/A</v>
      </c>
      <c r="T42" s="77" t="str">
        <f t="shared" si="45"/>
        <v>N/A</v>
      </c>
      <c r="U42" s="77" t="str">
        <f t="shared" si="45"/>
        <v>N/A</v>
      </c>
      <c r="V42" s="77" t="str">
        <f t="shared" si="45"/>
        <v>N/A</v>
      </c>
      <c r="W42" s="77" t="str">
        <f t="shared" si="45"/>
        <v>N/A</v>
      </c>
      <c r="X42" s="77" t="str">
        <f t="shared" si="45"/>
        <v>N/A</v>
      </c>
      <c r="Y42" s="77" t="str">
        <f t="shared" si="45"/>
        <v>N/A</v>
      </c>
      <c r="Z42" s="77" t="str">
        <f t="shared" si="45"/>
        <v>N/A</v>
      </c>
      <c r="AA42" s="77" t="str">
        <f t="shared" si="45"/>
        <v>N/A</v>
      </c>
      <c r="AB42" s="77" t="str">
        <f t="shared" si="45"/>
        <v>N/A</v>
      </c>
      <c r="AC42" s="74" t="str">
        <f>IF(E42&lt;'Config  Metas'!$B$2,"🚨 REVISAR HORARIO O SCRIPT",IF(G42&lt;'Config  Metas'!$B$3,"🚨 GUIÓN DÉBIL EN APERTURA",IF(I42&lt;'Config  Metas'!$B$4,"⚠️ FALTA CONFIRMACIÓN PRE-REUNIÓN",IF(K42&lt;'Config  Metas'!$B$5,"🚨 SIN CIERRES DE PRUEBA",IF(M42&lt;'Config  Metas'!$B$6,"🚨 OBJECIONES NO RESUELTAS",IF(N42&lt;'Config  Metas'!$B$7,"🔻 BAJO PISO SEMANAL",IF(AND(E42&gt;='Config  Metas'!$B$2,G42&gt;='Config  Metas'!$B$3,I42&gt;='Config  Metas'!$B$4,K42&gt;='Config  Metas'!$B$5,M42&gt;='Config  Metas'!$B$6,N42&gt;='Config  Metas'!$B$7),"✅ RENDIMIENTO SOBRE META","✅ ESTABLE")))))))</f>
        <v>🚨 REVISAR HORARIO O SCRIPT</v>
      </c>
    </row>
    <row r="43" ht="15.75" customHeight="1">
      <c r="A43" s="74" t="s">
        <v>165</v>
      </c>
      <c r="B43" s="74">
        <f>SUMIF('Carga Diaria'!$B:$B,$A43,'Carga Diaria'!$D:$D)</f>
        <v>0</v>
      </c>
      <c r="C43" s="74">
        <f>SUMIF('Carga Diaria'!$B:$B,$A43,'Carga Diaria'!$E:$E)</f>
        <v>0</v>
      </c>
      <c r="D43" s="74">
        <f>SUMIF('Carga Diaria'!$B:$B,$A43,'Carga Diaria'!$F:$F)</f>
        <v>0</v>
      </c>
      <c r="E43" s="75">
        <f t="shared" si="1"/>
        <v>0</v>
      </c>
      <c r="F43" s="74">
        <f>SUMIF('Carga Diaria'!$B:$B,$A43,'Carga Diaria'!$H:$H)</f>
        <v>0</v>
      </c>
      <c r="G43" s="75">
        <f t="shared" si="2"/>
        <v>0</v>
      </c>
      <c r="H43" s="74">
        <f>SUMIF('Carga Diaria'!$B:$B,$A43,'Carga Diaria'!$J:$J)</f>
        <v>0</v>
      </c>
      <c r="I43" s="75">
        <f t="shared" si="3"/>
        <v>0</v>
      </c>
      <c r="J43" s="74">
        <f>SUMIF('Carga Diaria'!$B:$B,$A43,'Carga Diaria'!$L:$L)</f>
        <v>0</v>
      </c>
      <c r="K43" s="75">
        <f t="shared" si="4"/>
        <v>0</v>
      </c>
      <c r="L43" s="74">
        <f>SUMIF('Carga Diaria'!$B:$B,$A43,'Carga Diaria'!$N:$N)</f>
        <v>0</v>
      </c>
      <c r="M43" s="75">
        <f t="shared" si="5"/>
        <v>0</v>
      </c>
      <c r="N43" s="74">
        <f>SUMIF('Carga Diaria'!$B:$B,$A43,'Carga Diaria'!$P:$P)</f>
        <v>0</v>
      </c>
      <c r="O43" s="76">
        <f>N43*'Config  Metas'!$B$10</f>
        <v>0</v>
      </c>
      <c r="P43" s="77" t="str">
        <f t="shared" ref="P43:AB43" si="46">IF(C42=0,"N/A",(C43-C42)/C42)</f>
        <v>N/A</v>
      </c>
      <c r="Q43" s="77" t="str">
        <f t="shared" si="46"/>
        <v>N/A</v>
      </c>
      <c r="R43" s="77" t="str">
        <f t="shared" si="46"/>
        <v>N/A</v>
      </c>
      <c r="S43" s="77" t="str">
        <f t="shared" si="46"/>
        <v>N/A</v>
      </c>
      <c r="T43" s="77" t="str">
        <f t="shared" si="46"/>
        <v>N/A</v>
      </c>
      <c r="U43" s="77" t="str">
        <f t="shared" si="46"/>
        <v>N/A</v>
      </c>
      <c r="V43" s="77" t="str">
        <f t="shared" si="46"/>
        <v>N/A</v>
      </c>
      <c r="W43" s="77" t="str">
        <f t="shared" si="46"/>
        <v>N/A</v>
      </c>
      <c r="X43" s="77" t="str">
        <f t="shared" si="46"/>
        <v>N/A</v>
      </c>
      <c r="Y43" s="77" t="str">
        <f t="shared" si="46"/>
        <v>N/A</v>
      </c>
      <c r="Z43" s="77" t="str">
        <f t="shared" si="46"/>
        <v>N/A</v>
      </c>
      <c r="AA43" s="77" t="str">
        <f t="shared" si="46"/>
        <v>N/A</v>
      </c>
      <c r="AB43" s="77" t="str">
        <f t="shared" si="46"/>
        <v>N/A</v>
      </c>
      <c r="AC43" s="74" t="str">
        <f>IF(E43&lt;'Config  Metas'!$B$2,"🚨 REVISAR HORARIO O SCRIPT",IF(G43&lt;'Config  Metas'!$B$3,"🚨 GUIÓN DÉBIL EN APERTURA",IF(I43&lt;'Config  Metas'!$B$4,"⚠️ FALTA CONFIRMACIÓN PRE-REUNIÓN",IF(K43&lt;'Config  Metas'!$B$5,"🚨 SIN CIERRES DE PRUEBA",IF(M43&lt;'Config  Metas'!$B$6,"🚨 OBJECIONES NO RESUELTAS",IF(N43&lt;'Config  Metas'!$B$7,"🔻 BAJO PISO SEMANAL",IF(AND(E43&gt;='Config  Metas'!$B$2,G43&gt;='Config  Metas'!$B$3,I43&gt;='Config  Metas'!$B$4,K43&gt;='Config  Metas'!$B$5,M43&gt;='Config  Metas'!$B$6,N43&gt;='Config  Metas'!$B$7),"✅ RENDIMIENTO SOBRE META","✅ ESTABLE")))))))</f>
        <v>🚨 REVISAR HORARIO O SCRIPT</v>
      </c>
    </row>
    <row r="44" ht="15.75" customHeight="1">
      <c r="A44" s="74" t="s">
        <v>166</v>
      </c>
      <c r="B44" s="74">
        <f>SUMIF('Carga Diaria'!$B:$B,$A44,'Carga Diaria'!$D:$D)</f>
        <v>0</v>
      </c>
      <c r="C44" s="74">
        <f>SUMIF('Carga Diaria'!$B:$B,$A44,'Carga Diaria'!$E:$E)</f>
        <v>0</v>
      </c>
      <c r="D44" s="74">
        <f>SUMIF('Carga Diaria'!$B:$B,$A44,'Carga Diaria'!$F:$F)</f>
        <v>0</v>
      </c>
      <c r="E44" s="75">
        <f t="shared" si="1"/>
        <v>0</v>
      </c>
      <c r="F44" s="74">
        <f>SUMIF('Carga Diaria'!$B:$B,$A44,'Carga Diaria'!$H:$H)</f>
        <v>0</v>
      </c>
      <c r="G44" s="75">
        <f t="shared" si="2"/>
        <v>0</v>
      </c>
      <c r="H44" s="74">
        <f>SUMIF('Carga Diaria'!$B:$B,$A44,'Carga Diaria'!$J:$J)</f>
        <v>0</v>
      </c>
      <c r="I44" s="75">
        <f t="shared" si="3"/>
        <v>0</v>
      </c>
      <c r="J44" s="74">
        <f>SUMIF('Carga Diaria'!$B:$B,$A44,'Carga Diaria'!$L:$L)</f>
        <v>0</v>
      </c>
      <c r="K44" s="75">
        <f t="shared" si="4"/>
        <v>0</v>
      </c>
      <c r="L44" s="74">
        <f>SUMIF('Carga Diaria'!$B:$B,$A44,'Carga Diaria'!$N:$N)</f>
        <v>0</v>
      </c>
      <c r="M44" s="75">
        <f t="shared" si="5"/>
        <v>0</v>
      </c>
      <c r="N44" s="74">
        <f>SUMIF('Carga Diaria'!$B:$B,$A44,'Carga Diaria'!$P:$P)</f>
        <v>0</v>
      </c>
      <c r="O44" s="76">
        <f>N44*'Config  Metas'!$B$10</f>
        <v>0</v>
      </c>
      <c r="P44" s="77" t="str">
        <f t="shared" ref="P44:AB44" si="47">IF(C43=0,"N/A",(C44-C43)/C43)</f>
        <v>N/A</v>
      </c>
      <c r="Q44" s="77" t="str">
        <f t="shared" si="47"/>
        <v>N/A</v>
      </c>
      <c r="R44" s="77" t="str">
        <f t="shared" si="47"/>
        <v>N/A</v>
      </c>
      <c r="S44" s="77" t="str">
        <f t="shared" si="47"/>
        <v>N/A</v>
      </c>
      <c r="T44" s="77" t="str">
        <f t="shared" si="47"/>
        <v>N/A</v>
      </c>
      <c r="U44" s="77" t="str">
        <f t="shared" si="47"/>
        <v>N/A</v>
      </c>
      <c r="V44" s="77" t="str">
        <f t="shared" si="47"/>
        <v>N/A</v>
      </c>
      <c r="W44" s="77" t="str">
        <f t="shared" si="47"/>
        <v>N/A</v>
      </c>
      <c r="X44" s="77" t="str">
        <f t="shared" si="47"/>
        <v>N/A</v>
      </c>
      <c r="Y44" s="77" t="str">
        <f t="shared" si="47"/>
        <v>N/A</v>
      </c>
      <c r="Z44" s="77" t="str">
        <f t="shared" si="47"/>
        <v>N/A</v>
      </c>
      <c r="AA44" s="77" t="str">
        <f t="shared" si="47"/>
        <v>N/A</v>
      </c>
      <c r="AB44" s="77" t="str">
        <f t="shared" si="47"/>
        <v>N/A</v>
      </c>
      <c r="AC44" s="74" t="str">
        <f>IF(E44&lt;'Config  Metas'!$B$2,"🚨 REVISAR HORARIO O SCRIPT",IF(G44&lt;'Config  Metas'!$B$3,"🚨 GUIÓN DÉBIL EN APERTURA",IF(I44&lt;'Config  Metas'!$B$4,"⚠️ FALTA CONFIRMACIÓN PRE-REUNIÓN",IF(K44&lt;'Config  Metas'!$B$5,"🚨 SIN CIERRES DE PRUEBA",IF(M44&lt;'Config  Metas'!$B$6,"🚨 OBJECIONES NO RESUELTAS",IF(N44&lt;'Config  Metas'!$B$7,"🔻 BAJO PISO SEMANAL",IF(AND(E44&gt;='Config  Metas'!$B$2,G44&gt;='Config  Metas'!$B$3,I44&gt;='Config  Metas'!$B$4,K44&gt;='Config  Metas'!$B$5,M44&gt;='Config  Metas'!$B$6,N44&gt;='Config  Metas'!$B$7),"✅ RENDIMIENTO SOBRE META","✅ ESTABLE")))))))</f>
        <v>🚨 REVISAR HORARIO O SCRIPT</v>
      </c>
    </row>
    <row r="45" ht="15.75" customHeight="1">
      <c r="A45" s="74" t="s">
        <v>167</v>
      </c>
      <c r="B45" s="74">
        <f>SUMIF('Carga Diaria'!$B:$B,$A45,'Carga Diaria'!$D:$D)</f>
        <v>0</v>
      </c>
      <c r="C45" s="74">
        <f>SUMIF('Carga Diaria'!$B:$B,$A45,'Carga Diaria'!$E:$E)</f>
        <v>0</v>
      </c>
      <c r="D45" s="74">
        <f>SUMIF('Carga Diaria'!$B:$B,$A45,'Carga Diaria'!$F:$F)</f>
        <v>0</v>
      </c>
      <c r="E45" s="75">
        <f t="shared" si="1"/>
        <v>0</v>
      </c>
      <c r="F45" s="74">
        <f>SUMIF('Carga Diaria'!$B:$B,$A45,'Carga Diaria'!$H:$H)</f>
        <v>0</v>
      </c>
      <c r="G45" s="75">
        <f t="shared" si="2"/>
        <v>0</v>
      </c>
      <c r="H45" s="74">
        <f>SUMIF('Carga Diaria'!$B:$B,$A45,'Carga Diaria'!$J:$J)</f>
        <v>0</v>
      </c>
      <c r="I45" s="75">
        <f t="shared" si="3"/>
        <v>0</v>
      </c>
      <c r="J45" s="74">
        <f>SUMIF('Carga Diaria'!$B:$B,$A45,'Carga Diaria'!$L:$L)</f>
        <v>0</v>
      </c>
      <c r="K45" s="75">
        <f t="shared" si="4"/>
        <v>0</v>
      </c>
      <c r="L45" s="74">
        <f>SUMIF('Carga Diaria'!$B:$B,$A45,'Carga Diaria'!$N:$N)</f>
        <v>0</v>
      </c>
      <c r="M45" s="75">
        <f t="shared" si="5"/>
        <v>0</v>
      </c>
      <c r="N45" s="74">
        <f>SUMIF('Carga Diaria'!$B:$B,$A45,'Carga Diaria'!$P:$P)</f>
        <v>0</v>
      </c>
      <c r="O45" s="76">
        <f>N45*'Config  Metas'!$B$10</f>
        <v>0</v>
      </c>
      <c r="P45" s="77" t="str">
        <f t="shared" ref="P45:AB45" si="48">IF(C44=0,"N/A",(C45-C44)/C44)</f>
        <v>N/A</v>
      </c>
      <c r="Q45" s="77" t="str">
        <f t="shared" si="48"/>
        <v>N/A</v>
      </c>
      <c r="R45" s="77" t="str">
        <f t="shared" si="48"/>
        <v>N/A</v>
      </c>
      <c r="S45" s="77" t="str">
        <f t="shared" si="48"/>
        <v>N/A</v>
      </c>
      <c r="T45" s="77" t="str">
        <f t="shared" si="48"/>
        <v>N/A</v>
      </c>
      <c r="U45" s="77" t="str">
        <f t="shared" si="48"/>
        <v>N/A</v>
      </c>
      <c r="V45" s="77" t="str">
        <f t="shared" si="48"/>
        <v>N/A</v>
      </c>
      <c r="W45" s="77" t="str">
        <f t="shared" si="48"/>
        <v>N/A</v>
      </c>
      <c r="X45" s="77" t="str">
        <f t="shared" si="48"/>
        <v>N/A</v>
      </c>
      <c r="Y45" s="77" t="str">
        <f t="shared" si="48"/>
        <v>N/A</v>
      </c>
      <c r="Z45" s="77" t="str">
        <f t="shared" si="48"/>
        <v>N/A</v>
      </c>
      <c r="AA45" s="77" t="str">
        <f t="shared" si="48"/>
        <v>N/A</v>
      </c>
      <c r="AB45" s="77" t="str">
        <f t="shared" si="48"/>
        <v>N/A</v>
      </c>
      <c r="AC45" s="74" t="str">
        <f>IF(E45&lt;'Config  Metas'!$B$2,"🚨 REVISAR HORARIO O SCRIPT",IF(G45&lt;'Config  Metas'!$B$3,"🚨 GUIÓN DÉBIL EN APERTURA",IF(I45&lt;'Config  Metas'!$B$4,"⚠️ FALTA CONFIRMACIÓN PRE-REUNIÓN",IF(K45&lt;'Config  Metas'!$B$5,"🚨 SIN CIERRES DE PRUEBA",IF(M45&lt;'Config  Metas'!$B$6,"🚨 OBJECIONES NO RESUELTAS",IF(N45&lt;'Config  Metas'!$B$7,"🔻 BAJO PISO SEMANAL",IF(AND(E45&gt;='Config  Metas'!$B$2,G45&gt;='Config  Metas'!$B$3,I45&gt;='Config  Metas'!$B$4,K45&gt;='Config  Metas'!$B$5,M45&gt;='Config  Metas'!$B$6,N45&gt;='Config  Metas'!$B$7),"✅ RENDIMIENTO SOBRE META","✅ ESTABLE")))))))</f>
        <v>🚨 REVISAR HORARIO O SCRIPT</v>
      </c>
    </row>
    <row r="46" ht="15.75" customHeight="1">
      <c r="A46" s="74" t="s">
        <v>168</v>
      </c>
      <c r="B46" s="74">
        <f>SUMIF('Carga Diaria'!$B:$B,$A46,'Carga Diaria'!$D:$D)</f>
        <v>0</v>
      </c>
      <c r="C46" s="74">
        <f>SUMIF('Carga Diaria'!$B:$B,$A46,'Carga Diaria'!$E:$E)</f>
        <v>0</v>
      </c>
      <c r="D46" s="74">
        <f>SUMIF('Carga Diaria'!$B:$B,$A46,'Carga Diaria'!$F:$F)</f>
        <v>0</v>
      </c>
      <c r="E46" s="75">
        <f t="shared" si="1"/>
        <v>0</v>
      </c>
      <c r="F46" s="74">
        <f>SUMIF('Carga Diaria'!$B:$B,$A46,'Carga Diaria'!$H:$H)</f>
        <v>0</v>
      </c>
      <c r="G46" s="75">
        <f t="shared" si="2"/>
        <v>0</v>
      </c>
      <c r="H46" s="74">
        <f>SUMIF('Carga Diaria'!$B:$B,$A46,'Carga Diaria'!$J:$J)</f>
        <v>0</v>
      </c>
      <c r="I46" s="75">
        <f t="shared" si="3"/>
        <v>0</v>
      </c>
      <c r="J46" s="74">
        <f>SUMIF('Carga Diaria'!$B:$B,$A46,'Carga Diaria'!$L:$L)</f>
        <v>0</v>
      </c>
      <c r="K46" s="75">
        <f t="shared" si="4"/>
        <v>0</v>
      </c>
      <c r="L46" s="74">
        <f>SUMIF('Carga Diaria'!$B:$B,$A46,'Carga Diaria'!$N:$N)</f>
        <v>0</v>
      </c>
      <c r="M46" s="75">
        <f t="shared" si="5"/>
        <v>0</v>
      </c>
      <c r="N46" s="74">
        <f>SUMIF('Carga Diaria'!$B:$B,$A46,'Carga Diaria'!$P:$P)</f>
        <v>0</v>
      </c>
      <c r="O46" s="76">
        <f>N46*'Config  Metas'!$B$10</f>
        <v>0</v>
      </c>
      <c r="P46" s="77" t="str">
        <f t="shared" ref="P46:AB46" si="49">IF(C45=0,"N/A",(C46-C45)/C45)</f>
        <v>N/A</v>
      </c>
      <c r="Q46" s="77" t="str">
        <f t="shared" si="49"/>
        <v>N/A</v>
      </c>
      <c r="R46" s="77" t="str">
        <f t="shared" si="49"/>
        <v>N/A</v>
      </c>
      <c r="S46" s="77" t="str">
        <f t="shared" si="49"/>
        <v>N/A</v>
      </c>
      <c r="T46" s="77" t="str">
        <f t="shared" si="49"/>
        <v>N/A</v>
      </c>
      <c r="U46" s="77" t="str">
        <f t="shared" si="49"/>
        <v>N/A</v>
      </c>
      <c r="V46" s="77" t="str">
        <f t="shared" si="49"/>
        <v>N/A</v>
      </c>
      <c r="W46" s="77" t="str">
        <f t="shared" si="49"/>
        <v>N/A</v>
      </c>
      <c r="X46" s="77" t="str">
        <f t="shared" si="49"/>
        <v>N/A</v>
      </c>
      <c r="Y46" s="77" t="str">
        <f t="shared" si="49"/>
        <v>N/A</v>
      </c>
      <c r="Z46" s="77" t="str">
        <f t="shared" si="49"/>
        <v>N/A</v>
      </c>
      <c r="AA46" s="77" t="str">
        <f t="shared" si="49"/>
        <v>N/A</v>
      </c>
      <c r="AB46" s="77" t="str">
        <f t="shared" si="49"/>
        <v>N/A</v>
      </c>
      <c r="AC46" s="74" t="str">
        <f>IF(E46&lt;'Config  Metas'!$B$2,"🚨 REVISAR HORARIO O SCRIPT",IF(G46&lt;'Config  Metas'!$B$3,"🚨 GUIÓN DÉBIL EN APERTURA",IF(I46&lt;'Config  Metas'!$B$4,"⚠️ FALTA CONFIRMACIÓN PRE-REUNIÓN",IF(K46&lt;'Config  Metas'!$B$5,"🚨 SIN CIERRES DE PRUEBA",IF(M46&lt;'Config  Metas'!$B$6,"🚨 OBJECIONES NO RESUELTAS",IF(N46&lt;'Config  Metas'!$B$7,"🔻 BAJO PISO SEMANAL",IF(AND(E46&gt;='Config  Metas'!$B$2,G46&gt;='Config  Metas'!$B$3,I46&gt;='Config  Metas'!$B$4,K46&gt;='Config  Metas'!$B$5,M46&gt;='Config  Metas'!$B$6,N46&gt;='Config  Metas'!$B$7),"✅ RENDIMIENTO SOBRE META","✅ ESTABLE")))))))</f>
        <v>🚨 REVISAR HORARIO O SCRIPT</v>
      </c>
    </row>
    <row r="47" ht="15.75" customHeight="1">
      <c r="A47" s="74" t="s">
        <v>169</v>
      </c>
      <c r="B47" s="74">
        <f>SUMIF('Carga Diaria'!$B:$B,$A47,'Carga Diaria'!$D:$D)</f>
        <v>0</v>
      </c>
      <c r="C47" s="74">
        <f>SUMIF('Carga Diaria'!$B:$B,$A47,'Carga Diaria'!$E:$E)</f>
        <v>0</v>
      </c>
      <c r="D47" s="74">
        <f>SUMIF('Carga Diaria'!$B:$B,$A47,'Carga Diaria'!$F:$F)</f>
        <v>0</v>
      </c>
      <c r="E47" s="75">
        <f t="shared" si="1"/>
        <v>0</v>
      </c>
      <c r="F47" s="74">
        <f>SUMIF('Carga Diaria'!$B:$B,$A47,'Carga Diaria'!$H:$H)</f>
        <v>0</v>
      </c>
      <c r="G47" s="75">
        <f t="shared" si="2"/>
        <v>0</v>
      </c>
      <c r="H47" s="74">
        <f>SUMIF('Carga Diaria'!$B:$B,$A47,'Carga Diaria'!$J:$J)</f>
        <v>0</v>
      </c>
      <c r="I47" s="75">
        <f t="shared" si="3"/>
        <v>0</v>
      </c>
      <c r="J47" s="74">
        <f>SUMIF('Carga Diaria'!$B:$B,$A47,'Carga Diaria'!$L:$L)</f>
        <v>0</v>
      </c>
      <c r="K47" s="75">
        <f t="shared" si="4"/>
        <v>0</v>
      </c>
      <c r="L47" s="74">
        <f>SUMIF('Carga Diaria'!$B:$B,$A47,'Carga Diaria'!$N:$N)</f>
        <v>0</v>
      </c>
      <c r="M47" s="75">
        <f t="shared" si="5"/>
        <v>0</v>
      </c>
      <c r="N47" s="74">
        <f>SUMIF('Carga Diaria'!$B:$B,$A47,'Carga Diaria'!$P:$P)</f>
        <v>0</v>
      </c>
      <c r="O47" s="76">
        <f>N47*'Config  Metas'!$B$10</f>
        <v>0</v>
      </c>
      <c r="P47" s="77" t="str">
        <f t="shared" ref="P47:AB47" si="50">IF(C46=0,"N/A",(C47-C46)/C46)</f>
        <v>N/A</v>
      </c>
      <c r="Q47" s="77" t="str">
        <f t="shared" si="50"/>
        <v>N/A</v>
      </c>
      <c r="R47" s="77" t="str">
        <f t="shared" si="50"/>
        <v>N/A</v>
      </c>
      <c r="S47" s="77" t="str">
        <f t="shared" si="50"/>
        <v>N/A</v>
      </c>
      <c r="T47" s="77" t="str">
        <f t="shared" si="50"/>
        <v>N/A</v>
      </c>
      <c r="U47" s="77" t="str">
        <f t="shared" si="50"/>
        <v>N/A</v>
      </c>
      <c r="V47" s="77" t="str">
        <f t="shared" si="50"/>
        <v>N/A</v>
      </c>
      <c r="W47" s="77" t="str">
        <f t="shared" si="50"/>
        <v>N/A</v>
      </c>
      <c r="X47" s="77" t="str">
        <f t="shared" si="50"/>
        <v>N/A</v>
      </c>
      <c r="Y47" s="77" t="str">
        <f t="shared" si="50"/>
        <v>N/A</v>
      </c>
      <c r="Z47" s="77" t="str">
        <f t="shared" si="50"/>
        <v>N/A</v>
      </c>
      <c r="AA47" s="77" t="str">
        <f t="shared" si="50"/>
        <v>N/A</v>
      </c>
      <c r="AB47" s="77" t="str">
        <f t="shared" si="50"/>
        <v>N/A</v>
      </c>
      <c r="AC47" s="74" t="str">
        <f>IF(E47&lt;'Config  Metas'!$B$2,"🚨 REVISAR HORARIO O SCRIPT",IF(G47&lt;'Config  Metas'!$B$3,"🚨 GUIÓN DÉBIL EN APERTURA",IF(I47&lt;'Config  Metas'!$B$4,"⚠️ FALTA CONFIRMACIÓN PRE-REUNIÓN",IF(K47&lt;'Config  Metas'!$B$5,"🚨 SIN CIERRES DE PRUEBA",IF(M47&lt;'Config  Metas'!$B$6,"🚨 OBJECIONES NO RESUELTAS",IF(N47&lt;'Config  Metas'!$B$7,"🔻 BAJO PISO SEMANAL",IF(AND(E47&gt;='Config  Metas'!$B$2,G47&gt;='Config  Metas'!$B$3,I47&gt;='Config  Metas'!$B$4,K47&gt;='Config  Metas'!$B$5,M47&gt;='Config  Metas'!$B$6,N47&gt;='Config  Metas'!$B$7),"✅ RENDIMIENTO SOBRE META","✅ ESTABLE")))))))</f>
        <v>🚨 REVISAR HORARIO O SCRIPT</v>
      </c>
    </row>
    <row r="48" ht="15.75" customHeight="1">
      <c r="A48" s="74" t="s">
        <v>170</v>
      </c>
      <c r="B48" s="74">
        <f>SUMIF('Carga Diaria'!$B:$B,$A48,'Carga Diaria'!$D:$D)</f>
        <v>0</v>
      </c>
      <c r="C48" s="74">
        <f>SUMIF('Carga Diaria'!$B:$B,$A48,'Carga Diaria'!$E:$E)</f>
        <v>0</v>
      </c>
      <c r="D48" s="74">
        <f>SUMIF('Carga Diaria'!$B:$B,$A48,'Carga Diaria'!$F:$F)</f>
        <v>0</v>
      </c>
      <c r="E48" s="75">
        <f t="shared" si="1"/>
        <v>0</v>
      </c>
      <c r="F48" s="74">
        <f>SUMIF('Carga Diaria'!$B:$B,$A48,'Carga Diaria'!$H:$H)</f>
        <v>0</v>
      </c>
      <c r="G48" s="75">
        <f t="shared" si="2"/>
        <v>0</v>
      </c>
      <c r="H48" s="74">
        <f>SUMIF('Carga Diaria'!$B:$B,$A48,'Carga Diaria'!$J:$J)</f>
        <v>0</v>
      </c>
      <c r="I48" s="75">
        <f t="shared" si="3"/>
        <v>0</v>
      </c>
      <c r="J48" s="74">
        <f>SUMIF('Carga Diaria'!$B:$B,$A48,'Carga Diaria'!$L:$L)</f>
        <v>0</v>
      </c>
      <c r="K48" s="75">
        <f t="shared" si="4"/>
        <v>0</v>
      </c>
      <c r="L48" s="74">
        <f>SUMIF('Carga Diaria'!$B:$B,$A48,'Carga Diaria'!$N:$N)</f>
        <v>0</v>
      </c>
      <c r="M48" s="75">
        <f t="shared" si="5"/>
        <v>0</v>
      </c>
      <c r="N48" s="74">
        <f>SUMIF('Carga Diaria'!$B:$B,$A48,'Carga Diaria'!$P:$P)</f>
        <v>0</v>
      </c>
      <c r="O48" s="76">
        <f>N48*'Config  Metas'!$B$10</f>
        <v>0</v>
      </c>
      <c r="P48" s="77" t="str">
        <f t="shared" ref="P48:AB48" si="51">IF(C47=0,"N/A",(C48-C47)/C47)</f>
        <v>N/A</v>
      </c>
      <c r="Q48" s="77" t="str">
        <f t="shared" si="51"/>
        <v>N/A</v>
      </c>
      <c r="R48" s="77" t="str">
        <f t="shared" si="51"/>
        <v>N/A</v>
      </c>
      <c r="S48" s="77" t="str">
        <f t="shared" si="51"/>
        <v>N/A</v>
      </c>
      <c r="T48" s="77" t="str">
        <f t="shared" si="51"/>
        <v>N/A</v>
      </c>
      <c r="U48" s="77" t="str">
        <f t="shared" si="51"/>
        <v>N/A</v>
      </c>
      <c r="V48" s="77" t="str">
        <f t="shared" si="51"/>
        <v>N/A</v>
      </c>
      <c r="W48" s="77" t="str">
        <f t="shared" si="51"/>
        <v>N/A</v>
      </c>
      <c r="X48" s="77" t="str">
        <f t="shared" si="51"/>
        <v>N/A</v>
      </c>
      <c r="Y48" s="77" t="str">
        <f t="shared" si="51"/>
        <v>N/A</v>
      </c>
      <c r="Z48" s="77" t="str">
        <f t="shared" si="51"/>
        <v>N/A</v>
      </c>
      <c r="AA48" s="77" t="str">
        <f t="shared" si="51"/>
        <v>N/A</v>
      </c>
      <c r="AB48" s="77" t="str">
        <f t="shared" si="51"/>
        <v>N/A</v>
      </c>
      <c r="AC48" s="74" t="str">
        <f>IF(E48&lt;'Config  Metas'!$B$2,"🚨 REVISAR HORARIO O SCRIPT",IF(G48&lt;'Config  Metas'!$B$3,"🚨 GUIÓN DÉBIL EN APERTURA",IF(I48&lt;'Config  Metas'!$B$4,"⚠️ FALTA CONFIRMACIÓN PRE-REUNIÓN",IF(K48&lt;'Config  Metas'!$B$5,"🚨 SIN CIERRES DE PRUEBA",IF(M48&lt;'Config  Metas'!$B$6,"🚨 OBJECIONES NO RESUELTAS",IF(N48&lt;'Config  Metas'!$B$7,"🔻 BAJO PISO SEMANAL",IF(AND(E48&gt;='Config  Metas'!$B$2,G48&gt;='Config  Metas'!$B$3,I48&gt;='Config  Metas'!$B$4,K48&gt;='Config  Metas'!$B$5,M48&gt;='Config  Metas'!$B$6,N48&gt;='Config  Metas'!$B$7),"✅ RENDIMIENTO SOBRE META","✅ ESTABLE")))))))</f>
        <v>🚨 REVISAR HORARIO O SCRIPT</v>
      </c>
    </row>
    <row r="49" ht="15.75" customHeight="1">
      <c r="A49" s="74" t="s">
        <v>171</v>
      </c>
      <c r="B49" s="74">
        <f>SUMIF('Carga Diaria'!$B:$B,$A49,'Carga Diaria'!$D:$D)</f>
        <v>0</v>
      </c>
      <c r="C49" s="74">
        <f>SUMIF('Carga Diaria'!$B:$B,$A49,'Carga Diaria'!$E:$E)</f>
        <v>0</v>
      </c>
      <c r="D49" s="74">
        <f>SUMIF('Carga Diaria'!$B:$B,$A49,'Carga Diaria'!$F:$F)</f>
        <v>0</v>
      </c>
      <c r="E49" s="75">
        <f t="shared" si="1"/>
        <v>0</v>
      </c>
      <c r="F49" s="74">
        <f>SUMIF('Carga Diaria'!$B:$B,$A49,'Carga Diaria'!$H:$H)</f>
        <v>0</v>
      </c>
      <c r="G49" s="75">
        <f t="shared" si="2"/>
        <v>0</v>
      </c>
      <c r="H49" s="74">
        <f>SUMIF('Carga Diaria'!$B:$B,$A49,'Carga Diaria'!$J:$J)</f>
        <v>0</v>
      </c>
      <c r="I49" s="75">
        <f t="shared" si="3"/>
        <v>0</v>
      </c>
      <c r="J49" s="74">
        <f>SUMIF('Carga Diaria'!$B:$B,$A49,'Carga Diaria'!$L:$L)</f>
        <v>0</v>
      </c>
      <c r="K49" s="75">
        <f t="shared" si="4"/>
        <v>0</v>
      </c>
      <c r="L49" s="74">
        <f>SUMIF('Carga Diaria'!$B:$B,$A49,'Carga Diaria'!$N:$N)</f>
        <v>0</v>
      </c>
      <c r="M49" s="75">
        <f t="shared" si="5"/>
        <v>0</v>
      </c>
      <c r="N49" s="74">
        <f>SUMIF('Carga Diaria'!$B:$B,$A49,'Carga Diaria'!$P:$P)</f>
        <v>0</v>
      </c>
      <c r="O49" s="76">
        <f>N49*'Config  Metas'!$B$10</f>
        <v>0</v>
      </c>
      <c r="P49" s="77" t="str">
        <f t="shared" ref="P49:AB49" si="52">IF(C48=0,"N/A",(C49-C48)/C48)</f>
        <v>N/A</v>
      </c>
      <c r="Q49" s="77" t="str">
        <f t="shared" si="52"/>
        <v>N/A</v>
      </c>
      <c r="R49" s="77" t="str">
        <f t="shared" si="52"/>
        <v>N/A</v>
      </c>
      <c r="S49" s="77" t="str">
        <f t="shared" si="52"/>
        <v>N/A</v>
      </c>
      <c r="T49" s="77" t="str">
        <f t="shared" si="52"/>
        <v>N/A</v>
      </c>
      <c r="U49" s="77" t="str">
        <f t="shared" si="52"/>
        <v>N/A</v>
      </c>
      <c r="V49" s="77" t="str">
        <f t="shared" si="52"/>
        <v>N/A</v>
      </c>
      <c r="W49" s="77" t="str">
        <f t="shared" si="52"/>
        <v>N/A</v>
      </c>
      <c r="X49" s="77" t="str">
        <f t="shared" si="52"/>
        <v>N/A</v>
      </c>
      <c r="Y49" s="77" t="str">
        <f t="shared" si="52"/>
        <v>N/A</v>
      </c>
      <c r="Z49" s="77" t="str">
        <f t="shared" si="52"/>
        <v>N/A</v>
      </c>
      <c r="AA49" s="77" t="str">
        <f t="shared" si="52"/>
        <v>N/A</v>
      </c>
      <c r="AB49" s="77" t="str">
        <f t="shared" si="52"/>
        <v>N/A</v>
      </c>
      <c r="AC49" s="74" t="str">
        <f>IF(E49&lt;'Config  Metas'!$B$2,"🚨 REVISAR HORARIO O SCRIPT",IF(G49&lt;'Config  Metas'!$B$3,"🚨 GUIÓN DÉBIL EN APERTURA",IF(I49&lt;'Config  Metas'!$B$4,"⚠️ FALTA CONFIRMACIÓN PRE-REUNIÓN",IF(K49&lt;'Config  Metas'!$B$5,"🚨 SIN CIERRES DE PRUEBA",IF(M49&lt;'Config  Metas'!$B$6,"🚨 OBJECIONES NO RESUELTAS",IF(N49&lt;'Config  Metas'!$B$7,"🔻 BAJO PISO SEMANAL",IF(AND(E49&gt;='Config  Metas'!$B$2,G49&gt;='Config  Metas'!$B$3,I49&gt;='Config  Metas'!$B$4,K49&gt;='Config  Metas'!$B$5,M49&gt;='Config  Metas'!$B$6,N49&gt;='Config  Metas'!$B$7),"✅ RENDIMIENTO SOBRE META","✅ ESTABLE")))))))</f>
        <v>🚨 REVISAR HORARIO O SCRIPT</v>
      </c>
    </row>
    <row r="50" ht="15.75" customHeight="1">
      <c r="A50" s="74" t="s">
        <v>172</v>
      </c>
      <c r="B50" s="74">
        <f>SUMIF('Carga Diaria'!$B:$B,$A50,'Carga Diaria'!$D:$D)</f>
        <v>0</v>
      </c>
      <c r="C50" s="74">
        <f>SUMIF('Carga Diaria'!$B:$B,$A50,'Carga Diaria'!$E:$E)</f>
        <v>0</v>
      </c>
      <c r="D50" s="74">
        <f>SUMIF('Carga Diaria'!$B:$B,$A50,'Carga Diaria'!$F:$F)</f>
        <v>0</v>
      </c>
      <c r="E50" s="75">
        <f t="shared" si="1"/>
        <v>0</v>
      </c>
      <c r="F50" s="74">
        <f>SUMIF('Carga Diaria'!$B:$B,$A50,'Carga Diaria'!$H:$H)</f>
        <v>0</v>
      </c>
      <c r="G50" s="75">
        <f t="shared" si="2"/>
        <v>0</v>
      </c>
      <c r="H50" s="74">
        <f>SUMIF('Carga Diaria'!$B:$B,$A50,'Carga Diaria'!$J:$J)</f>
        <v>0</v>
      </c>
      <c r="I50" s="75">
        <f t="shared" si="3"/>
        <v>0</v>
      </c>
      <c r="J50" s="74">
        <f>SUMIF('Carga Diaria'!$B:$B,$A50,'Carga Diaria'!$L:$L)</f>
        <v>0</v>
      </c>
      <c r="K50" s="75">
        <f t="shared" si="4"/>
        <v>0</v>
      </c>
      <c r="L50" s="74">
        <f>SUMIF('Carga Diaria'!$B:$B,$A50,'Carga Diaria'!$N:$N)</f>
        <v>0</v>
      </c>
      <c r="M50" s="75">
        <f t="shared" si="5"/>
        <v>0</v>
      </c>
      <c r="N50" s="74">
        <f>SUMIF('Carga Diaria'!$B:$B,$A50,'Carga Diaria'!$P:$P)</f>
        <v>0</v>
      </c>
      <c r="O50" s="76">
        <f>N50*'Config  Metas'!$B$10</f>
        <v>0</v>
      </c>
      <c r="P50" s="77" t="str">
        <f t="shared" ref="P50:AB50" si="53">IF(C49=0,"N/A",(C50-C49)/C49)</f>
        <v>N/A</v>
      </c>
      <c r="Q50" s="77" t="str">
        <f t="shared" si="53"/>
        <v>N/A</v>
      </c>
      <c r="R50" s="77" t="str">
        <f t="shared" si="53"/>
        <v>N/A</v>
      </c>
      <c r="S50" s="77" t="str">
        <f t="shared" si="53"/>
        <v>N/A</v>
      </c>
      <c r="T50" s="77" t="str">
        <f t="shared" si="53"/>
        <v>N/A</v>
      </c>
      <c r="U50" s="77" t="str">
        <f t="shared" si="53"/>
        <v>N/A</v>
      </c>
      <c r="V50" s="77" t="str">
        <f t="shared" si="53"/>
        <v>N/A</v>
      </c>
      <c r="W50" s="77" t="str">
        <f t="shared" si="53"/>
        <v>N/A</v>
      </c>
      <c r="X50" s="77" t="str">
        <f t="shared" si="53"/>
        <v>N/A</v>
      </c>
      <c r="Y50" s="77" t="str">
        <f t="shared" si="53"/>
        <v>N/A</v>
      </c>
      <c r="Z50" s="77" t="str">
        <f t="shared" si="53"/>
        <v>N/A</v>
      </c>
      <c r="AA50" s="77" t="str">
        <f t="shared" si="53"/>
        <v>N/A</v>
      </c>
      <c r="AB50" s="77" t="str">
        <f t="shared" si="53"/>
        <v>N/A</v>
      </c>
      <c r="AC50" s="74" t="str">
        <f>IF(E50&lt;'Config  Metas'!$B$2,"🚨 REVISAR HORARIO O SCRIPT",IF(G50&lt;'Config  Metas'!$B$3,"🚨 GUIÓN DÉBIL EN APERTURA",IF(I50&lt;'Config  Metas'!$B$4,"⚠️ FALTA CONFIRMACIÓN PRE-REUNIÓN",IF(K50&lt;'Config  Metas'!$B$5,"🚨 SIN CIERRES DE PRUEBA",IF(M50&lt;'Config  Metas'!$B$6,"🚨 OBJECIONES NO RESUELTAS",IF(N50&lt;'Config  Metas'!$B$7,"🔻 BAJO PISO SEMANAL",IF(AND(E50&gt;='Config  Metas'!$B$2,G50&gt;='Config  Metas'!$B$3,I50&gt;='Config  Metas'!$B$4,K50&gt;='Config  Metas'!$B$5,M50&gt;='Config  Metas'!$B$6,N50&gt;='Config  Metas'!$B$7),"✅ RENDIMIENTO SOBRE META","✅ ESTABLE")))))))</f>
        <v>🚨 REVISAR HORARIO O SCRIPT</v>
      </c>
    </row>
    <row r="51" ht="15.75" customHeight="1">
      <c r="A51" s="74" t="s">
        <v>173</v>
      </c>
      <c r="B51" s="74">
        <f>SUMIF('Carga Diaria'!$B:$B,$A51,'Carga Diaria'!$D:$D)</f>
        <v>0</v>
      </c>
      <c r="C51" s="74">
        <f>SUMIF('Carga Diaria'!$B:$B,$A51,'Carga Diaria'!$E:$E)</f>
        <v>0</v>
      </c>
      <c r="D51" s="74">
        <f>SUMIF('Carga Diaria'!$B:$B,$A51,'Carga Diaria'!$F:$F)</f>
        <v>0</v>
      </c>
      <c r="E51" s="75">
        <f t="shared" si="1"/>
        <v>0</v>
      </c>
      <c r="F51" s="74">
        <f>SUMIF('Carga Diaria'!$B:$B,$A51,'Carga Diaria'!$H:$H)</f>
        <v>0</v>
      </c>
      <c r="G51" s="75">
        <f t="shared" si="2"/>
        <v>0</v>
      </c>
      <c r="H51" s="74">
        <f>SUMIF('Carga Diaria'!$B:$B,$A51,'Carga Diaria'!$J:$J)</f>
        <v>0</v>
      </c>
      <c r="I51" s="75">
        <f t="shared" si="3"/>
        <v>0</v>
      </c>
      <c r="J51" s="74">
        <f>SUMIF('Carga Diaria'!$B:$B,$A51,'Carga Diaria'!$L:$L)</f>
        <v>0</v>
      </c>
      <c r="K51" s="75">
        <f t="shared" si="4"/>
        <v>0</v>
      </c>
      <c r="L51" s="74">
        <f>SUMIF('Carga Diaria'!$B:$B,$A51,'Carga Diaria'!$N:$N)</f>
        <v>0</v>
      </c>
      <c r="M51" s="75">
        <f t="shared" si="5"/>
        <v>0</v>
      </c>
      <c r="N51" s="74">
        <f>SUMIF('Carga Diaria'!$B:$B,$A51,'Carga Diaria'!$P:$P)</f>
        <v>0</v>
      </c>
      <c r="O51" s="76">
        <f>N51*'Config  Metas'!$B$10</f>
        <v>0</v>
      </c>
      <c r="P51" s="77" t="str">
        <f t="shared" ref="P51:AB51" si="54">IF(C50=0,"N/A",(C51-C50)/C50)</f>
        <v>N/A</v>
      </c>
      <c r="Q51" s="77" t="str">
        <f t="shared" si="54"/>
        <v>N/A</v>
      </c>
      <c r="R51" s="77" t="str">
        <f t="shared" si="54"/>
        <v>N/A</v>
      </c>
      <c r="S51" s="77" t="str">
        <f t="shared" si="54"/>
        <v>N/A</v>
      </c>
      <c r="T51" s="77" t="str">
        <f t="shared" si="54"/>
        <v>N/A</v>
      </c>
      <c r="U51" s="77" t="str">
        <f t="shared" si="54"/>
        <v>N/A</v>
      </c>
      <c r="V51" s="77" t="str">
        <f t="shared" si="54"/>
        <v>N/A</v>
      </c>
      <c r="W51" s="77" t="str">
        <f t="shared" si="54"/>
        <v>N/A</v>
      </c>
      <c r="X51" s="77" t="str">
        <f t="shared" si="54"/>
        <v>N/A</v>
      </c>
      <c r="Y51" s="77" t="str">
        <f t="shared" si="54"/>
        <v>N/A</v>
      </c>
      <c r="Z51" s="77" t="str">
        <f t="shared" si="54"/>
        <v>N/A</v>
      </c>
      <c r="AA51" s="77" t="str">
        <f t="shared" si="54"/>
        <v>N/A</v>
      </c>
      <c r="AB51" s="77" t="str">
        <f t="shared" si="54"/>
        <v>N/A</v>
      </c>
      <c r="AC51" s="74" t="str">
        <f>IF(E51&lt;'Config  Metas'!$B$2,"🚨 REVISAR HORARIO O SCRIPT",IF(G51&lt;'Config  Metas'!$B$3,"🚨 GUIÓN DÉBIL EN APERTURA",IF(I51&lt;'Config  Metas'!$B$4,"⚠️ FALTA CONFIRMACIÓN PRE-REUNIÓN",IF(K51&lt;'Config  Metas'!$B$5,"🚨 SIN CIERRES DE PRUEBA",IF(M51&lt;'Config  Metas'!$B$6,"🚨 OBJECIONES NO RESUELTAS",IF(N51&lt;'Config  Metas'!$B$7,"🔻 BAJO PISO SEMANAL",IF(AND(E51&gt;='Config  Metas'!$B$2,G51&gt;='Config  Metas'!$B$3,I51&gt;='Config  Metas'!$B$4,K51&gt;='Config  Metas'!$B$5,M51&gt;='Config  Metas'!$B$6,N51&gt;='Config  Metas'!$B$7),"✅ RENDIMIENTO SOBRE META","✅ ESTABLE")))))))</f>
        <v>🚨 REVISAR HORARIO O SCRIPT</v>
      </c>
    </row>
    <row r="52" ht="15.75" customHeight="1">
      <c r="A52" s="74" t="s">
        <v>174</v>
      </c>
      <c r="B52" s="74">
        <f>SUMIF('Carga Diaria'!$B:$B,$A52,'Carga Diaria'!$D:$D)</f>
        <v>0</v>
      </c>
      <c r="C52" s="74">
        <f>SUMIF('Carga Diaria'!$B:$B,$A52,'Carga Diaria'!$E:$E)</f>
        <v>0</v>
      </c>
      <c r="D52" s="74">
        <f>SUMIF('Carga Diaria'!$B:$B,$A52,'Carga Diaria'!$F:$F)</f>
        <v>0</v>
      </c>
      <c r="E52" s="75">
        <f t="shared" si="1"/>
        <v>0</v>
      </c>
      <c r="F52" s="74">
        <f>SUMIF('Carga Diaria'!$B:$B,$A52,'Carga Diaria'!$H:$H)</f>
        <v>0</v>
      </c>
      <c r="G52" s="75">
        <f t="shared" si="2"/>
        <v>0</v>
      </c>
      <c r="H52" s="74">
        <f>SUMIF('Carga Diaria'!$B:$B,$A52,'Carga Diaria'!$J:$J)</f>
        <v>0</v>
      </c>
      <c r="I52" s="75">
        <f t="shared" si="3"/>
        <v>0</v>
      </c>
      <c r="J52" s="74">
        <f>SUMIF('Carga Diaria'!$B:$B,$A52,'Carga Diaria'!$L:$L)</f>
        <v>0</v>
      </c>
      <c r="K52" s="75">
        <f t="shared" si="4"/>
        <v>0</v>
      </c>
      <c r="L52" s="74">
        <f>SUMIF('Carga Diaria'!$B:$B,$A52,'Carga Diaria'!$N:$N)</f>
        <v>0</v>
      </c>
      <c r="M52" s="75">
        <f t="shared" si="5"/>
        <v>0</v>
      </c>
      <c r="N52" s="74">
        <f>SUMIF('Carga Diaria'!$B:$B,$A52,'Carga Diaria'!$P:$P)</f>
        <v>0</v>
      </c>
      <c r="O52" s="76">
        <f>N52*'Config  Metas'!$B$10</f>
        <v>0</v>
      </c>
      <c r="P52" s="77" t="str">
        <f t="shared" ref="P52:AB52" si="55">IF(C51=0,"N/A",(C52-C51)/C51)</f>
        <v>N/A</v>
      </c>
      <c r="Q52" s="77" t="str">
        <f t="shared" si="55"/>
        <v>N/A</v>
      </c>
      <c r="R52" s="77" t="str">
        <f t="shared" si="55"/>
        <v>N/A</v>
      </c>
      <c r="S52" s="77" t="str">
        <f t="shared" si="55"/>
        <v>N/A</v>
      </c>
      <c r="T52" s="77" t="str">
        <f t="shared" si="55"/>
        <v>N/A</v>
      </c>
      <c r="U52" s="77" t="str">
        <f t="shared" si="55"/>
        <v>N/A</v>
      </c>
      <c r="V52" s="77" t="str">
        <f t="shared" si="55"/>
        <v>N/A</v>
      </c>
      <c r="W52" s="77" t="str">
        <f t="shared" si="55"/>
        <v>N/A</v>
      </c>
      <c r="X52" s="77" t="str">
        <f t="shared" si="55"/>
        <v>N/A</v>
      </c>
      <c r="Y52" s="77" t="str">
        <f t="shared" si="55"/>
        <v>N/A</v>
      </c>
      <c r="Z52" s="77" t="str">
        <f t="shared" si="55"/>
        <v>N/A</v>
      </c>
      <c r="AA52" s="77" t="str">
        <f t="shared" si="55"/>
        <v>N/A</v>
      </c>
      <c r="AB52" s="77" t="str">
        <f t="shared" si="55"/>
        <v>N/A</v>
      </c>
      <c r="AC52" s="74" t="str">
        <f>IF(E52&lt;'Config  Metas'!$B$2,"🚨 REVISAR HORARIO O SCRIPT",IF(G52&lt;'Config  Metas'!$B$3,"🚨 GUIÓN DÉBIL EN APERTURA",IF(I52&lt;'Config  Metas'!$B$4,"⚠️ FALTA CONFIRMACIÓN PRE-REUNIÓN",IF(K52&lt;'Config  Metas'!$B$5,"🚨 SIN CIERRES DE PRUEBA",IF(M52&lt;'Config  Metas'!$B$6,"🚨 OBJECIONES NO RESUELTAS",IF(N52&lt;'Config  Metas'!$B$7,"🔻 BAJO PISO SEMANAL",IF(AND(E52&gt;='Config  Metas'!$B$2,G52&gt;='Config  Metas'!$B$3,I52&gt;='Config  Metas'!$B$4,K52&gt;='Config  Metas'!$B$5,M52&gt;='Config  Metas'!$B$6,N52&gt;='Config  Metas'!$B$7),"✅ RENDIMIENTO SOBRE META","✅ ESTABLE")))))))</f>
        <v>🚨 REVISAR HORARIO O SCRIPT</v>
      </c>
    </row>
    <row r="53" ht="15.75" customHeight="1">
      <c r="A53" s="74" t="s">
        <v>175</v>
      </c>
      <c r="B53" s="74">
        <f>SUMIF('Carga Diaria'!$B:$B,$A53,'Carga Diaria'!$D:$D)</f>
        <v>0</v>
      </c>
      <c r="C53" s="74">
        <f>SUMIF('Carga Diaria'!$B:$B,$A53,'Carga Diaria'!$E:$E)</f>
        <v>0</v>
      </c>
      <c r="D53" s="74">
        <f>SUMIF('Carga Diaria'!$B:$B,$A53,'Carga Diaria'!$F:$F)</f>
        <v>0</v>
      </c>
      <c r="E53" s="75">
        <f t="shared" si="1"/>
        <v>0</v>
      </c>
      <c r="F53" s="74">
        <f>SUMIF('Carga Diaria'!$B:$B,$A53,'Carga Diaria'!$H:$H)</f>
        <v>0</v>
      </c>
      <c r="G53" s="75">
        <f t="shared" si="2"/>
        <v>0</v>
      </c>
      <c r="H53" s="74">
        <f>SUMIF('Carga Diaria'!$B:$B,$A53,'Carga Diaria'!$J:$J)</f>
        <v>0</v>
      </c>
      <c r="I53" s="75">
        <f t="shared" si="3"/>
        <v>0</v>
      </c>
      <c r="J53" s="74">
        <f>SUMIF('Carga Diaria'!$B:$B,$A53,'Carga Diaria'!$L:$L)</f>
        <v>0</v>
      </c>
      <c r="K53" s="75">
        <f t="shared" si="4"/>
        <v>0</v>
      </c>
      <c r="L53" s="74">
        <f>SUMIF('Carga Diaria'!$B:$B,$A53,'Carga Diaria'!$N:$N)</f>
        <v>0</v>
      </c>
      <c r="M53" s="75">
        <f t="shared" si="5"/>
        <v>0</v>
      </c>
      <c r="N53" s="74">
        <f>SUMIF('Carga Diaria'!$B:$B,$A53,'Carga Diaria'!$P:$P)</f>
        <v>0</v>
      </c>
      <c r="O53" s="76">
        <f>N53*'Config  Metas'!$B$10</f>
        <v>0</v>
      </c>
      <c r="P53" s="77" t="str">
        <f t="shared" ref="P53:AB53" si="56">IF(C52=0,"N/A",(C53-C52)/C52)</f>
        <v>N/A</v>
      </c>
      <c r="Q53" s="77" t="str">
        <f t="shared" si="56"/>
        <v>N/A</v>
      </c>
      <c r="R53" s="77" t="str">
        <f t="shared" si="56"/>
        <v>N/A</v>
      </c>
      <c r="S53" s="77" t="str">
        <f t="shared" si="56"/>
        <v>N/A</v>
      </c>
      <c r="T53" s="77" t="str">
        <f t="shared" si="56"/>
        <v>N/A</v>
      </c>
      <c r="U53" s="77" t="str">
        <f t="shared" si="56"/>
        <v>N/A</v>
      </c>
      <c r="V53" s="77" t="str">
        <f t="shared" si="56"/>
        <v>N/A</v>
      </c>
      <c r="W53" s="77" t="str">
        <f t="shared" si="56"/>
        <v>N/A</v>
      </c>
      <c r="X53" s="77" t="str">
        <f t="shared" si="56"/>
        <v>N/A</v>
      </c>
      <c r="Y53" s="77" t="str">
        <f t="shared" si="56"/>
        <v>N/A</v>
      </c>
      <c r="Z53" s="77" t="str">
        <f t="shared" si="56"/>
        <v>N/A</v>
      </c>
      <c r="AA53" s="77" t="str">
        <f t="shared" si="56"/>
        <v>N/A</v>
      </c>
      <c r="AB53" s="77" t="str">
        <f t="shared" si="56"/>
        <v>N/A</v>
      </c>
      <c r="AC53" s="74" t="str">
        <f>IF(E53&lt;'Config  Metas'!$B$2,"🚨 REVISAR HORARIO O SCRIPT",IF(G53&lt;'Config  Metas'!$B$3,"🚨 GUIÓN DÉBIL EN APERTURA",IF(I53&lt;'Config  Metas'!$B$4,"⚠️ FALTA CONFIRMACIÓN PRE-REUNIÓN",IF(K53&lt;'Config  Metas'!$B$5,"🚨 SIN CIERRES DE PRUEBA",IF(M53&lt;'Config  Metas'!$B$6,"🚨 OBJECIONES NO RESUELTAS",IF(N53&lt;'Config  Metas'!$B$7,"🔻 BAJO PISO SEMANAL",IF(AND(E53&gt;='Config  Metas'!$B$2,G53&gt;='Config  Metas'!$B$3,I53&gt;='Config  Metas'!$B$4,K53&gt;='Config  Metas'!$B$5,M53&gt;='Config  Metas'!$B$6,N53&gt;='Config  Metas'!$B$7),"✅ RENDIMIENTO SOBRE META","✅ ESTABLE")))))))</f>
        <v>🚨 REVISAR HORARIO O SCRIPT</v>
      </c>
    </row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conditionalFormatting sqref="P2:AB53">
    <cfRule type="cellIs" dxfId="4" priority="1" operator="lessThan">
      <formula>0</formula>
    </cfRule>
  </conditionalFormatting>
  <conditionalFormatting sqref="P2:AB53">
    <cfRule type="cellIs" dxfId="5" priority="2" operator="greaterThan">
      <formula>0.2</formula>
    </cfRule>
  </conditionalFormatting>
  <conditionalFormatting sqref="AC2:AC53">
    <cfRule type="expression" dxfId="6" priority="3">
      <formula>ISNUMBER(SEARCH("🚨",AC2))</formula>
    </cfRule>
  </conditionalFormatting>
  <conditionalFormatting sqref="AC2:AC53">
    <cfRule type="expression" dxfId="7" priority="4">
      <formula>ISNUMBER(SEARCH("✅",AC2))</formula>
    </cfRule>
  </conditionalFormatting>
  <printOptions/>
  <pageMargins bottom="0.75" footer="0.0" header="0.0" left="0.7" right="0.7" top="0.75"/>
  <pageSetup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tabColor rgb="FF674EA7"/>
    <pageSetUpPr/>
  </sheetPr>
  <sheetViews>
    <sheetView workbookViewId="0"/>
  </sheetViews>
  <sheetFormatPr customHeight="1" defaultColWidth="12.63" defaultRowHeight="15.0"/>
  <cols>
    <col customWidth="1" min="1" max="1" width="10.0"/>
    <col customWidth="1" min="2" max="2" width="18.0"/>
    <col customWidth="1" min="3" max="3" width="16.0"/>
    <col customWidth="1" min="4" max="4" width="18.0"/>
    <col customWidth="1" min="5" max="5" width="16.0"/>
    <col customWidth="1" min="6" max="6" width="18.0"/>
    <col customWidth="1" min="7" max="7" width="16.0"/>
    <col customWidth="1" min="8" max="8" width="18.0"/>
    <col customWidth="1" min="9" max="9" width="16.0"/>
    <col customWidth="1" min="10" max="10" width="18.0"/>
    <col customWidth="1" min="11" max="11" width="16.0"/>
    <col customWidth="1" min="12" max="12" width="18.0"/>
    <col customWidth="1" min="13" max="13" width="16.0"/>
    <col customWidth="1" min="14" max="14" width="18.0"/>
    <col customWidth="1" min="15" max="15" width="16.0"/>
    <col customWidth="1" min="16" max="26" width="14.38"/>
  </cols>
  <sheetData>
    <row r="1" ht="42.0" customHeight="1">
      <c r="A1" s="78" t="s">
        <v>1</v>
      </c>
      <c r="B1" s="78" t="s">
        <v>176</v>
      </c>
      <c r="C1" s="78" t="s">
        <v>83</v>
      </c>
      <c r="D1" s="78" t="s">
        <v>6</v>
      </c>
      <c r="E1" s="78" t="s">
        <v>83</v>
      </c>
      <c r="F1" s="78" t="s">
        <v>8</v>
      </c>
      <c r="G1" s="78" t="s">
        <v>83</v>
      </c>
      <c r="H1" s="78" t="s">
        <v>10</v>
      </c>
      <c r="I1" s="78" t="s">
        <v>83</v>
      </c>
      <c r="J1" s="78" t="s">
        <v>12</v>
      </c>
      <c r="K1" s="78" t="s">
        <v>83</v>
      </c>
      <c r="L1" s="78" t="s">
        <v>14</v>
      </c>
      <c r="M1" s="78" t="s">
        <v>83</v>
      </c>
      <c r="N1" s="78" t="s">
        <v>177</v>
      </c>
      <c r="O1" s="78" t="s">
        <v>83</v>
      </c>
    </row>
    <row r="2">
      <c r="A2" s="79" t="str">
        <f>'Seguimiento Semanal'!A2</f>
        <v>Sem 1</v>
      </c>
      <c r="B2" s="79">
        <f t="array" ref="B2">IFERROR(AVERAGE(INDEX('Seguimiento Semanal'!$C:$C,MAX(2,ROW()-3)):INDEX('Seguimiento Semanal'!$C:$C,ROW())),"")</f>
        <v>0</v>
      </c>
      <c r="C2" s="79" t="str">
        <f t="array" ref="C2">IF(ROW()&lt;9,"N/A",IFERROR(IF(ABS(B2-AVERAGE(INDEX('Seguimiento Semanal'!$C:$C,ROW()-7):INDEX('Seguimiento Semanal'!$C:$C,ROW()-4)))&lt;=ABS(AVERAGE(INDEX('Seguimiento Semanal'!$C:$C,ROW()-7):INDEX('Seguimiento Semanal'!$C:$C,ROW()-4)))*1%,"➡️ Estable",IF(B2&gt;AVERAGE(INDEX('Seguimiento Semanal'!$C:$C,ROW()-7):INDEX('Seguimiento Semanal'!$C:$C,ROW()-4)),"🔼 Subiendo","🔻 Bajando")),"N/A"))</f>
        <v>N/A</v>
      </c>
      <c r="D2" s="80">
        <f t="array" ref="D2">IFERROR(AVERAGE(INDEX('Seguimiento Semanal'!$E:$E,MAX(2,ROW()-3)):INDEX('Seguimiento Semanal'!$E:$E,ROW())),"")</f>
        <v>0</v>
      </c>
      <c r="E2" s="79" t="str">
        <f t="array" ref="E2">IF(ROW()&lt;9,"N/A",IFERROR(IF(ABS(D2-AVERAGE(INDEX('Seguimiento Semanal'!$E:$E,ROW()-7):INDEX('Seguimiento Semanal'!$E:$E,ROW()-4)))&lt;=ABS(AVERAGE(INDEX('Seguimiento Semanal'!$E:$E,ROW()-7):INDEX('Seguimiento Semanal'!$E:$E,ROW()-4)))*1%,"➡️ Estable",IF(D2&gt;AVERAGE(INDEX('Seguimiento Semanal'!$E:$E,ROW()-7):INDEX('Seguimiento Semanal'!$E:$E,ROW()-4)),"🔼 Subiendo","🔻 Bajando")),"N/A"))</f>
        <v>N/A</v>
      </c>
      <c r="F2" s="80">
        <f t="array" ref="F2">IFERROR(AVERAGE(INDEX('Seguimiento Semanal'!$G:$G,MAX(2,ROW()-3)):INDEX('Seguimiento Semanal'!$G:$G,ROW())),"")</f>
        <v>0</v>
      </c>
      <c r="G2" s="79" t="str">
        <f t="array" ref="G2">IF(ROW()&lt;9,"N/A",IFERROR(IF(ABS(F2-AVERAGE(INDEX('Seguimiento Semanal'!$G:$G,ROW()-7):INDEX('Seguimiento Semanal'!$G:$G,ROW()-4)))&lt;=ABS(AVERAGE(INDEX('Seguimiento Semanal'!$G:$G,ROW()-7):INDEX('Seguimiento Semanal'!$G:$G,ROW()-4)))*1%,"➡️ Estable",IF(F2&gt;AVERAGE(INDEX('Seguimiento Semanal'!$G:$G,ROW()-7):INDEX('Seguimiento Semanal'!$G:$G,ROW()-4)),"🔼 Subiendo","🔻 Bajando")),"N/A"))</f>
        <v>N/A</v>
      </c>
      <c r="H2" s="80">
        <f t="array" ref="H2">IFERROR(AVERAGE(INDEX('Seguimiento Semanal'!$I:$I,MAX(2,ROW()-3)):INDEX('Seguimiento Semanal'!$I:$I,ROW())),"")</f>
        <v>0</v>
      </c>
      <c r="I2" s="79" t="str">
        <f t="array" ref="I2">IF(ROW()&lt;9,"N/A",IFERROR(IF(ABS(H2-AVERAGE(INDEX('Seguimiento Semanal'!$I:$I,ROW()-7):INDEX('Seguimiento Semanal'!$I:$I,ROW()-4)))&lt;=ABS(AVERAGE(INDEX('Seguimiento Semanal'!$I:$I,ROW()-7):INDEX('Seguimiento Semanal'!$I:$I,ROW()-4)))*1%,"➡️ Estable",IF(H2&gt;AVERAGE(INDEX('Seguimiento Semanal'!$I:$I,ROW()-7):INDEX('Seguimiento Semanal'!$I:$I,ROW()-4)),"🔼 Subiendo","🔻 Bajando")),"N/A"))</f>
        <v>N/A</v>
      </c>
      <c r="J2" s="80">
        <f t="array" ref="J2">IFERROR(AVERAGE(INDEX('Seguimiento Semanal'!$K:$K,MAX(2,ROW()-3)):INDEX('Seguimiento Semanal'!$K:$K,ROW())),"")</f>
        <v>0</v>
      </c>
      <c r="K2" s="79" t="str">
        <f t="array" ref="K2">IF(ROW()&lt;9,"N/A",IFERROR(IF(ABS(J2-AVERAGE(INDEX('Seguimiento Semanal'!$K:$K,ROW()-7):INDEX('Seguimiento Semanal'!$K:$K,ROW()-4)))&lt;=ABS(AVERAGE(INDEX('Seguimiento Semanal'!$K:$K,ROW()-7):INDEX('Seguimiento Semanal'!$K:$K,ROW()-4)))*1%,"➡️ Estable",IF(J2&gt;AVERAGE(INDEX('Seguimiento Semanal'!$K:$K,ROW()-7):INDEX('Seguimiento Semanal'!$K:$K,ROW()-4)),"🔼 Subiendo","🔻 Bajando")),"N/A"))</f>
        <v>N/A</v>
      </c>
      <c r="L2" s="80">
        <f t="array" ref="L2">IFERROR(AVERAGE(INDEX('Seguimiento Semanal'!$M:$M,MAX(2,ROW()-3)):INDEX('Seguimiento Semanal'!$M:$M,ROW())),"")</f>
        <v>0</v>
      </c>
      <c r="M2" s="79" t="str">
        <f t="array" ref="M2">IF(ROW()&lt;9,"N/A",IFERROR(IF(ABS(L2-AVERAGE(INDEX('Seguimiento Semanal'!$M:$M,ROW()-7):INDEX('Seguimiento Semanal'!$M:$M,ROW()-4)))&lt;=ABS(AVERAGE(INDEX('Seguimiento Semanal'!$M:$M,ROW()-7):INDEX('Seguimiento Semanal'!$M:$M,ROW()-4)))*1%,"➡️ Estable",IF(L2&gt;AVERAGE(INDEX('Seguimiento Semanal'!$M:$M,ROW()-7):INDEX('Seguimiento Semanal'!$M:$M,ROW()-4)),"🔼 Subiendo","🔻 Bajando")),"N/A"))</f>
        <v>N/A</v>
      </c>
      <c r="N2" s="79">
        <f t="array" ref="N2">IFERROR(AVERAGE(INDEX('Seguimiento Semanal'!$N:$N,MAX(2,ROW()-3)):INDEX('Seguimiento Semanal'!$N:$N,ROW())),"")</f>
        <v>0</v>
      </c>
      <c r="O2" s="79" t="str">
        <f t="array" ref="O2">IF(ROW()&lt;9,"N/A",IFERROR(IF(ABS(N2-AVERAGE(INDEX('Seguimiento Semanal'!$N:$N,ROW()-7):INDEX('Seguimiento Semanal'!$N:$N,ROW()-4)))&lt;=ABS(AVERAGE(INDEX('Seguimiento Semanal'!$N:$N,ROW()-7):INDEX('Seguimiento Semanal'!$N:$N,ROW()-4)))*1%,"➡️ Estable",IF(N2&gt;AVERAGE(INDEX('Seguimiento Semanal'!$N:$N,ROW()-7):INDEX('Seguimiento Semanal'!$N:$N,ROW()-4)),"🔼 Subiendo","🔻 Bajando")),"N/A"))</f>
        <v>N/A</v>
      </c>
    </row>
    <row r="3">
      <c r="A3" s="79" t="str">
        <f>'Seguimiento Semanal'!A3</f>
        <v>Sem 2</v>
      </c>
      <c r="B3" s="79">
        <f t="array" ref="B3">IFERROR(AVERAGE(INDEX('Seguimiento Semanal'!$C:$C,MAX(2,ROW()-3)):INDEX('Seguimiento Semanal'!$C:$C,ROW())),"")</f>
        <v>0</v>
      </c>
      <c r="C3" s="79" t="str">
        <f t="array" ref="C3">IF(ROW()&lt;9,"N/A",IFERROR(IF(ABS(B3-AVERAGE(INDEX('Seguimiento Semanal'!$C:$C,ROW()-7):INDEX('Seguimiento Semanal'!$C:$C,ROW()-4)))&lt;=ABS(AVERAGE(INDEX('Seguimiento Semanal'!$C:$C,ROW()-7):INDEX('Seguimiento Semanal'!$C:$C,ROW()-4)))*1%,"➡️ Estable",IF(B3&gt;AVERAGE(INDEX('Seguimiento Semanal'!$C:$C,ROW()-7):INDEX('Seguimiento Semanal'!$C:$C,ROW()-4)),"🔼 Subiendo","🔻 Bajando")),"N/A"))</f>
        <v>N/A</v>
      </c>
      <c r="D3" s="80">
        <f t="array" ref="D3">IFERROR(AVERAGE(INDEX('Seguimiento Semanal'!$E:$E,MAX(2,ROW()-3)):INDEX('Seguimiento Semanal'!$E:$E,ROW())),"")</f>
        <v>0</v>
      </c>
      <c r="E3" s="79" t="str">
        <f t="array" ref="E3">IF(ROW()&lt;9,"N/A",IFERROR(IF(ABS(D3-AVERAGE(INDEX('Seguimiento Semanal'!$E:$E,ROW()-7):INDEX('Seguimiento Semanal'!$E:$E,ROW()-4)))&lt;=ABS(AVERAGE(INDEX('Seguimiento Semanal'!$E:$E,ROW()-7):INDEX('Seguimiento Semanal'!$E:$E,ROW()-4)))*1%,"➡️ Estable",IF(D3&gt;AVERAGE(INDEX('Seguimiento Semanal'!$E:$E,ROW()-7):INDEX('Seguimiento Semanal'!$E:$E,ROW()-4)),"🔼 Subiendo","🔻 Bajando")),"N/A"))</f>
        <v>N/A</v>
      </c>
      <c r="F3" s="80">
        <f t="array" ref="F3">IFERROR(AVERAGE(INDEX('Seguimiento Semanal'!$G:$G,MAX(2,ROW()-3)):INDEX('Seguimiento Semanal'!$G:$G,ROW())),"")</f>
        <v>0</v>
      </c>
      <c r="G3" s="79" t="str">
        <f t="array" ref="G3">IF(ROW()&lt;9,"N/A",IFERROR(IF(ABS(F3-AVERAGE(INDEX('Seguimiento Semanal'!$G:$G,ROW()-7):INDEX('Seguimiento Semanal'!$G:$G,ROW()-4)))&lt;=ABS(AVERAGE(INDEX('Seguimiento Semanal'!$G:$G,ROW()-7):INDEX('Seguimiento Semanal'!$G:$G,ROW()-4)))*1%,"➡️ Estable",IF(F3&gt;AVERAGE(INDEX('Seguimiento Semanal'!$G:$G,ROW()-7):INDEX('Seguimiento Semanal'!$G:$G,ROW()-4)),"🔼 Subiendo","🔻 Bajando")),"N/A"))</f>
        <v>N/A</v>
      </c>
      <c r="H3" s="80">
        <f t="array" ref="H3">IFERROR(AVERAGE(INDEX('Seguimiento Semanal'!$I:$I,MAX(2,ROW()-3)):INDEX('Seguimiento Semanal'!$I:$I,ROW())),"")</f>
        <v>0</v>
      </c>
      <c r="I3" s="79" t="str">
        <f t="array" ref="I3">IF(ROW()&lt;9,"N/A",IFERROR(IF(ABS(H3-AVERAGE(INDEX('Seguimiento Semanal'!$I:$I,ROW()-7):INDEX('Seguimiento Semanal'!$I:$I,ROW()-4)))&lt;=ABS(AVERAGE(INDEX('Seguimiento Semanal'!$I:$I,ROW()-7):INDEX('Seguimiento Semanal'!$I:$I,ROW()-4)))*1%,"➡️ Estable",IF(H3&gt;AVERAGE(INDEX('Seguimiento Semanal'!$I:$I,ROW()-7):INDEX('Seguimiento Semanal'!$I:$I,ROW()-4)),"🔼 Subiendo","🔻 Bajando")),"N/A"))</f>
        <v>N/A</v>
      </c>
      <c r="J3" s="80">
        <f t="array" ref="J3">IFERROR(AVERAGE(INDEX('Seguimiento Semanal'!$K:$K,MAX(2,ROW()-3)):INDEX('Seguimiento Semanal'!$K:$K,ROW())),"")</f>
        <v>0</v>
      </c>
      <c r="K3" s="79" t="str">
        <f t="array" ref="K3">IF(ROW()&lt;9,"N/A",IFERROR(IF(ABS(J3-AVERAGE(INDEX('Seguimiento Semanal'!$K:$K,ROW()-7):INDEX('Seguimiento Semanal'!$K:$K,ROW()-4)))&lt;=ABS(AVERAGE(INDEX('Seguimiento Semanal'!$K:$K,ROW()-7):INDEX('Seguimiento Semanal'!$K:$K,ROW()-4)))*1%,"➡️ Estable",IF(J3&gt;AVERAGE(INDEX('Seguimiento Semanal'!$K:$K,ROW()-7):INDEX('Seguimiento Semanal'!$K:$K,ROW()-4)),"🔼 Subiendo","🔻 Bajando")),"N/A"))</f>
        <v>N/A</v>
      </c>
      <c r="L3" s="80">
        <f t="array" ref="L3">IFERROR(AVERAGE(INDEX('Seguimiento Semanal'!$M:$M,MAX(2,ROW()-3)):INDEX('Seguimiento Semanal'!$M:$M,ROW())),"")</f>
        <v>0</v>
      </c>
      <c r="M3" s="79" t="str">
        <f t="array" ref="M3">IF(ROW()&lt;9,"N/A",IFERROR(IF(ABS(L3-AVERAGE(INDEX('Seguimiento Semanal'!$M:$M,ROW()-7):INDEX('Seguimiento Semanal'!$M:$M,ROW()-4)))&lt;=ABS(AVERAGE(INDEX('Seguimiento Semanal'!$M:$M,ROW()-7):INDEX('Seguimiento Semanal'!$M:$M,ROW()-4)))*1%,"➡️ Estable",IF(L3&gt;AVERAGE(INDEX('Seguimiento Semanal'!$M:$M,ROW()-7):INDEX('Seguimiento Semanal'!$M:$M,ROW()-4)),"🔼 Subiendo","🔻 Bajando")),"N/A"))</f>
        <v>N/A</v>
      </c>
      <c r="N3" s="79">
        <f t="array" ref="N3">IFERROR(AVERAGE(INDEX('Seguimiento Semanal'!$N:$N,MAX(2,ROW()-3)):INDEX('Seguimiento Semanal'!$N:$N,ROW())),"")</f>
        <v>0</v>
      </c>
      <c r="O3" s="79" t="str">
        <f t="array" ref="O3">IF(ROW()&lt;9,"N/A",IFERROR(IF(ABS(N3-AVERAGE(INDEX('Seguimiento Semanal'!$N:$N,ROW()-7):INDEX('Seguimiento Semanal'!$N:$N,ROW()-4)))&lt;=ABS(AVERAGE(INDEX('Seguimiento Semanal'!$N:$N,ROW()-7):INDEX('Seguimiento Semanal'!$N:$N,ROW()-4)))*1%,"➡️ Estable",IF(N3&gt;AVERAGE(INDEX('Seguimiento Semanal'!$N:$N,ROW()-7):INDEX('Seguimiento Semanal'!$N:$N,ROW()-4)),"🔼 Subiendo","🔻 Bajando")),"N/A"))</f>
        <v>N/A</v>
      </c>
    </row>
    <row r="4">
      <c r="A4" s="79" t="str">
        <f>'Seguimiento Semanal'!A4</f>
        <v>Sem 3</v>
      </c>
      <c r="B4" s="79">
        <f t="array" ref="B4">IFERROR(AVERAGE(INDEX('Seguimiento Semanal'!$C:$C,MAX(2,ROW()-3)):INDEX('Seguimiento Semanal'!$C:$C,ROW())),"")</f>
        <v>0</v>
      </c>
      <c r="C4" s="79" t="str">
        <f t="array" ref="C4">IF(ROW()&lt;9,"N/A",IFERROR(IF(ABS(B4-AVERAGE(INDEX('Seguimiento Semanal'!$C:$C,ROW()-7):INDEX('Seguimiento Semanal'!$C:$C,ROW()-4)))&lt;=ABS(AVERAGE(INDEX('Seguimiento Semanal'!$C:$C,ROW()-7):INDEX('Seguimiento Semanal'!$C:$C,ROW()-4)))*1%,"➡️ Estable",IF(B4&gt;AVERAGE(INDEX('Seguimiento Semanal'!$C:$C,ROW()-7):INDEX('Seguimiento Semanal'!$C:$C,ROW()-4)),"🔼 Subiendo","🔻 Bajando")),"N/A"))</f>
        <v>N/A</v>
      </c>
      <c r="D4" s="80">
        <f t="array" ref="D4">IFERROR(AVERAGE(INDEX('Seguimiento Semanal'!$E:$E,MAX(2,ROW()-3)):INDEX('Seguimiento Semanal'!$E:$E,ROW())),"")</f>
        <v>0</v>
      </c>
      <c r="E4" s="79" t="str">
        <f t="array" ref="E4">IF(ROW()&lt;9,"N/A",IFERROR(IF(ABS(D4-AVERAGE(INDEX('Seguimiento Semanal'!$E:$E,ROW()-7):INDEX('Seguimiento Semanal'!$E:$E,ROW()-4)))&lt;=ABS(AVERAGE(INDEX('Seguimiento Semanal'!$E:$E,ROW()-7):INDEX('Seguimiento Semanal'!$E:$E,ROW()-4)))*1%,"➡️ Estable",IF(D4&gt;AVERAGE(INDEX('Seguimiento Semanal'!$E:$E,ROW()-7):INDEX('Seguimiento Semanal'!$E:$E,ROW()-4)),"🔼 Subiendo","🔻 Bajando")),"N/A"))</f>
        <v>N/A</v>
      </c>
      <c r="F4" s="80">
        <f t="array" ref="F4">IFERROR(AVERAGE(INDEX('Seguimiento Semanal'!$G:$G,MAX(2,ROW()-3)):INDEX('Seguimiento Semanal'!$G:$G,ROW())),"")</f>
        <v>0</v>
      </c>
      <c r="G4" s="79" t="str">
        <f t="array" ref="G4">IF(ROW()&lt;9,"N/A",IFERROR(IF(ABS(F4-AVERAGE(INDEX('Seguimiento Semanal'!$G:$G,ROW()-7):INDEX('Seguimiento Semanal'!$G:$G,ROW()-4)))&lt;=ABS(AVERAGE(INDEX('Seguimiento Semanal'!$G:$G,ROW()-7):INDEX('Seguimiento Semanal'!$G:$G,ROW()-4)))*1%,"➡️ Estable",IF(F4&gt;AVERAGE(INDEX('Seguimiento Semanal'!$G:$G,ROW()-7):INDEX('Seguimiento Semanal'!$G:$G,ROW()-4)),"🔼 Subiendo","🔻 Bajando")),"N/A"))</f>
        <v>N/A</v>
      </c>
      <c r="H4" s="80">
        <f t="array" ref="H4">IFERROR(AVERAGE(INDEX('Seguimiento Semanal'!$I:$I,MAX(2,ROW()-3)):INDEX('Seguimiento Semanal'!$I:$I,ROW())),"")</f>
        <v>0</v>
      </c>
      <c r="I4" s="79" t="str">
        <f t="array" ref="I4">IF(ROW()&lt;9,"N/A",IFERROR(IF(ABS(H4-AVERAGE(INDEX('Seguimiento Semanal'!$I:$I,ROW()-7):INDEX('Seguimiento Semanal'!$I:$I,ROW()-4)))&lt;=ABS(AVERAGE(INDEX('Seguimiento Semanal'!$I:$I,ROW()-7):INDEX('Seguimiento Semanal'!$I:$I,ROW()-4)))*1%,"➡️ Estable",IF(H4&gt;AVERAGE(INDEX('Seguimiento Semanal'!$I:$I,ROW()-7):INDEX('Seguimiento Semanal'!$I:$I,ROW()-4)),"🔼 Subiendo","🔻 Bajando")),"N/A"))</f>
        <v>N/A</v>
      </c>
      <c r="J4" s="80">
        <f t="array" ref="J4">IFERROR(AVERAGE(INDEX('Seguimiento Semanal'!$K:$K,MAX(2,ROW()-3)):INDEX('Seguimiento Semanal'!$K:$K,ROW())),"")</f>
        <v>0</v>
      </c>
      <c r="K4" s="79" t="str">
        <f t="array" ref="K4">IF(ROW()&lt;9,"N/A",IFERROR(IF(ABS(J4-AVERAGE(INDEX('Seguimiento Semanal'!$K:$K,ROW()-7):INDEX('Seguimiento Semanal'!$K:$K,ROW()-4)))&lt;=ABS(AVERAGE(INDEX('Seguimiento Semanal'!$K:$K,ROW()-7):INDEX('Seguimiento Semanal'!$K:$K,ROW()-4)))*1%,"➡️ Estable",IF(J4&gt;AVERAGE(INDEX('Seguimiento Semanal'!$K:$K,ROW()-7):INDEX('Seguimiento Semanal'!$K:$K,ROW()-4)),"🔼 Subiendo","🔻 Bajando")),"N/A"))</f>
        <v>N/A</v>
      </c>
      <c r="L4" s="80">
        <f t="array" ref="L4">IFERROR(AVERAGE(INDEX('Seguimiento Semanal'!$M:$M,MAX(2,ROW()-3)):INDEX('Seguimiento Semanal'!$M:$M,ROW())),"")</f>
        <v>0</v>
      </c>
      <c r="M4" s="79" t="str">
        <f t="array" ref="M4">IF(ROW()&lt;9,"N/A",IFERROR(IF(ABS(L4-AVERAGE(INDEX('Seguimiento Semanal'!$M:$M,ROW()-7):INDEX('Seguimiento Semanal'!$M:$M,ROW()-4)))&lt;=ABS(AVERAGE(INDEX('Seguimiento Semanal'!$M:$M,ROW()-7):INDEX('Seguimiento Semanal'!$M:$M,ROW()-4)))*1%,"➡️ Estable",IF(L4&gt;AVERAGE(INDEX('Seguimiento Semanal'!$M:$M,ROW()-7):INDEX('Seguimiento Semanal'!$M:$M,ROW()-4)),"🔼 Subiendo","🔻 Bajando")),"N/A"))</f>
        <v>N/A</v>
      </c>
      <c r="N4" s="79">
        <f t="array" ref="N4">IFERROR(AVERAGE(INDEX('Seguimiento Semanal'!$N:$N,MAX(2,ROW()-3)):INDEX('Seguimiento Semanal'!$N:$N,ROW())),"")</f>
        <v>0</v>
      </c>
      <c r="O4" s="79" t="str">
        <f t="array" ref="O4">IF(ROW()&lt;9,"N/A",IFERROR(IF(ABS(N4-AVERAGE(INDEX('Seguimiento Semanal'!$N:$N,ROW()-7):INDEX('Seguimiento Semanal'!$N:$N,ROW()-4)))&lt;=ABS(AVERAGE(INDEX('Seguimiento Semanal'!$N:$N,ROW()-7):INDEX('Seguimiento Semanal'!$N:$N,ROW()-4)))*1%,"➡️ Estable",IF(N4&gt;AVERAGE(INDEX('Seguimiento Semanal'!$N:$N,ROW()-7):INDEX('Seguimiento Semanal'!$N:$N,ROW()-4)),"🔼 Subiendo","🔻 Bajando")),"N/A"))</f>
        <v>N/A</v>
      </c>
    </row>
    <row r="5">
      <c r="A5" s="79" t="str">
        <f>'Seguimiento Semanal'!A5</f>
        <v>Sem 4</v>
      </c>
      <c r="B5" s="79">
        <f t="array" ref="B5">IFERROR(AVERAGE(INDEX('Seguimiento Semanal'!$C:$C,MAX(2,ROW()-3)):INDEX('Seguimiento Semanal'!$C:$C,ROW())),"")</f>
        <v>0</v>
      </c>
      <c r="C5" s="79" t="str">
        <f t="array" ref="C5">IF(ROW()&lt;9,"N/A",IFERROR(IF(ABS(B5-AVERAGE(INDEX('Seguimiento Semanal'!$C:$C,ROW()-7):INDEX('Seguimiento Semanal'!$C:$C,ROW()-4)))&lt;=ABS(AVERAGE(INDEX('Seguimiento Semanal'!$C:$C,ROW()-7):INDEX('Seguimiento Semanal'!$C:$C,ROW()-4)))*1%,"➡️ Estable",IF(B5&gt;AVERAGE(INDEX('Seguimiento Semanal'!$C:$C,ROW()-7):INDEX('Seguimiento Semanal'!$C:$C,ROW()-4)),"🔼 Subiendo","🔻 Bajando")),"N/A"))</f>
        <v>N/A</v>
      </c>
      <c r="D5" s="80">
        <f t="array" ref="D5">IFERROR(AVERAGE(INDEX('Seguimiento Semanal'!$E:$E,MAX(2,ROW()-3)):INDEX('Seguimiento Semanal'!$E:$E,ROW())),"")</f>
        <v>0</v>
      </c>
      <c r="E5" s="79" t="str">
        <f t="array" ref="E5">IF(ROW()&lt;9,"N/A",IFERROR(IF(ABS(D5-AVERAGE(INDEX('Seguimiento Semanal'!$E:$E,ROW()-7):INDEX('Seguimiento Semanal'!$E:$E,ROW()-4)))&lt;=ABS(AVERAGE(INDEX('Seguimiento Semanal'!$E:$E,ROW()-7):INDEX('Seguimiento Semanal'!$E:$E,ROW()-4)))*1%,"➡️ Estable",IF(D5&gt;AVERAGE(INDEX('Seguimiento Semanal'!$E:$E,ROW()-7):INDEX('Seguimiento Semanal'!$E:$E,ROW()-4)),"🔼 Subiendo","🔻 Bajando")),"N/A"))</f>
        <v>N/A</v>
      </c>
      <c r="F5" s="80">
        <f t="array" ref="F5">IFERROR(AVERAGE(INDEX('Seguimiento Semanal'!$G:$G,MAX(2,ROW()-3)):INDEX('Seguimiento Semanal'!$G:$G,ROW())),"")</f>
        <v>0</v>
      </c>
      <c r="G5" s="79" t="str">
        <f t="array" ref="G5">IF(ROW()&lt;9,"N/A",IFERROR(IF(ABS(F5-AVERAGE(INDEX('Seguimiento Semanal'!$G:$G,ROW()-7):INDEX('Seguimiento Semanal'!$G:$G,ROW()-4)))&lt;=ABS(AVERAGE(INDEX('Seguimiento Semanal'!$G:$G,ROW()-7):INDEX('Seguimiento Semanal'!$G:$G,ROW()-4)))*1%,"➡️ Estable",IF(F5&gt;AVERAGE(INDEX('Seguimiento Semanal'!$G:$G,ROW()-7):INDEX('Seguimiento Semanal'!$G:$G,ROW()-4)),"🔼 Subiendo","🔻 Bajando")),"N/A"))</f>
        <v>N/A</v>
      </c>
      <c r="H5" s="80">
        <f t="array" ref="H5">IFERROR(AVERAGE(INDEX('Seguimiento Semanal'!$I:$I,MAX(2,ROW()-3)):INDEX('Seguimiento Semanal'!$I:$I,ROW())),"")</f>
        <v>0</v>
      </c>
      <c r="I5" s="79" t="str">
        <f t="array" ref="I5">IF(ROW()&lt;9,"N/A",IFERROR(IF(ABS(H5-AVERAGE(INDEX('Seguimiento Semanal'!$I:$I,ROW()-7):INDEX('Seguimiento Semanal'!$I:$I,ROW()-4)))&lt;=ABS(AVERAGE(INDEX('Seguimiento Semanal'!$I:$I,ROW()-7):INDEX('Seguimiento Semanal'!$I:$I,ROW()-4)))*1%,"➡️ Estable",IF(H5&gt;AVERAGE(INDEX('Seguimiento Semanal'!$I:$I,ROW()-7):INDEX('Seguimiento Semanal'!$I:$I,ROW()-4)),"🔼 Subiendo","🔻 Bajando")),"N/A"))</f>
        <v>N/A</v>
      </c>
      <c r="J5" s="80">
        <f t="array" ref="J5">IFERROR(AVERAGE(INDEX('Seguimiento Semanal'!$K:$K,MAX(2,ROW()-3)):INDEX('Seguimiento Semanal'!$K:$K,ROW())),"")</f>
        <v>0</v>
      </c>
      <c r="K5" s="79" t="str">
        <f t="array" ref="K5">IF(ROW()&lt;9,"N/A",IFERROR(IF(ABS(J5-AVERAGE(INDEX('Seguimiento Semanal'!$K:$K,ROW()-7):INDEX('Seguimiento Semanal'!$K:$K,ROW()-4)))&lt;=ABS(AVERAGE(INDEX('Seguimiento Semanal'!$K:$K,ROW()-7):INDEX('Seguimiento Semanal'!$K:$K,ROW()-4)))*1%,"➡️ Estable",IF(J5&gt;AVERAGE(INDEX('Seguimiento Semanal'!$K:$K,ROW()-7):INDEX('Seguimiento Semanal'!$K:$K,ROW()-4)),"🔼 Subiendo","🔻 Bajando")),"N/A"))</f>
        <v>N/A</v>
      </c>
      <c r="L5" s="80">
        <f t="array" ref="L5">IFERROR(AVERAGE(INDEX('Seguimiento Semanal'!$M:$M,MAX(2,ROW()-3)):INDEX('Seguimiento Semanal'!$M:$M,ROW())),"")</f>
        <v>0</v>
      </c>
      <c r="M5" s="79" t="str">
        <f t="array" ref="M5">IF(ROW()&lt;9,"N/A",IFERROR(IF(ABS(L5-AVERAGE(INDEX('Seguimiento Semanal'!$M:$M,ROW()-7):INDEX('Seguimiento Semanal'!$M:$M,ROW()-4)))&lt;=ABS(AVERAGE(INDEX('Seguimiento Semanal'!$M:$M,ROW()-7):INDEX('Seguimiento Semanal'!$M:$M,ROW()-4)))*1%,"➡️ Estable",IF(L5&gt;AVERAGE(INDEX('Seguimiento Semanal'!$M:$M,ROW()-7):INDEX('Seguimiento Semanal'!$M:$M,ROW()-4)),"🔼 Subiendo","🔻 Bajando")),"N/A"))</f>
        <v>N/A</v>
      </c>
      <c r="N5" s="79">
        <f t="array" ref="N5">IFERROR(AVERAGE(INDEX('Seguimiento Semanal'!$N:$N,MAX(2,ROW()-3)):INDEX('Seguimiento Semanal'!$N:$N,ROW())),"")</f>
        <v>0</v>
      </c>
      <c r="O5" s="79" t="str">
        <f t="array" ref="O5">IF(ROW()&lt;9,"N/A",IFERROR(IF(ABS(N5-AVERAGE(INDEX('Seguimiento Semanal'!$N:$N,ROW()-7):INDEX('Seguimiento Semanal'!$N:$N,ROW()-4)))&lt;=ABS(AVERAGE(INDEX('Seguimiento Semanal'!$N:$N,ROW()-7):INDEX('Seguimiento Semanal'!$N:$N,ROW()-4)))*1%,"➡️ Estable",IF(N5&gt;AVERAGE(INDEX('Seguimiento Semanal'!$N:$N,ROW()-7):INDEX('Seguimiento Semanal'!$N:$N,ROW()-4)),"🔼 Subiendo","🔻 Bajando")),"N/A"))</f>
        <v>N/A</v>
      </c>
    </row>
    <row r="6">
      <c r="A6" s="79" t="str">
        <f>'Seguimiento Semanal'!A6</f>
        <v>Sem 5</v>
      </c>
      <c r="B6" s="79">
        <f t="array" ref="B6">IFERROR(AVERAGE(INDEX('Seguimiento Semanal'!$C:$C,MAX(2,ROW()-3)):INDEX('Seguimiento Semanal'!$C:$C,ROW())),"")</f>
        <v>0</v>
      </c>
      <c r="C6" s="79" t="str">
        <f t="array" ref="C6">IF(ROW()&lt;9,"N/A",IFERROR(IF(ABS(B6-AVERAGE(INDEX('Seguimiento Semanal'!$C:$C,ROW()-7):INDEX('Seguimiento Semanal'!$C:$C,ROW()-4)))&lt;=ABS(AVERAGE(INDEX('Seguimiento Semanal'!$C:$C,ROW()-7):INDEX('Seguimiento Semanal'!$C:$C,ROW()-4)))*1%,"➡️ Estable",IF(B6&gt;AVERAGE(INDEX('Seguimiento Semanal'!$C:$C,ROW()-7):INDEX('Seguimiento Semanal'!$C:$C,ROW()-4)),"🔼 Subiendo","🔻 Bajando")),"N/A"))</f>
        <v>N/A</v>
      </c>
      <c r="D6" s="80">
        <f t="array" ref="D6">IFERROR(AVERAGE(INDEX('Seguimiento Semanal'!$E:$E,MAX(2,ROW()-3)):INDEX('Seguimiento Semanal'!$E:$E,ROW())),"")</f>
        <v>0</v>
      </c>
      <c r="E6" s="79" t="str">
        <f t="array" ref="E6">IF(ROW()&lt;9,"N/A",IFERROR(IF(ABS(D6-AVERAGE(INDEX('Seguimiento Semanal'!$E:$E,ROW()-7):INDEX('Seguimiento Semanal'!$E:$E,ROW()-4)))&lt;=ABS(AVERAGE(INDEX('Seguimiento Semanal'!$E:$E,ROW()-7):INDEX('Seguimiento Semanal'!$E:$E,ROW()-4)))*1%,"➡️ Estable",IF(D6&gt;AVERAGE(INDEX('Seguimiento Semanal'!$E:$E,ROW()-7):INDEX('Seguimiento Semanal'!$E:$E,ROW()-4)),"🔼 Subiendo","🔻 Bajando")),"N/A"))</f>
        <v>N/A</v>
      </c>
      <c r="F6" s="80">
        <f t="array" ref="F6">IFERROR(AVERAGE(INDEX('Seguimiento Semanal'!$G:$G,MAX(2,ROW()-3)):INDEX('Seguimiento Semanal'!$G:$G,ROW())),"")</f>
        <v>0</v>
      </c>
      <c r="G6" s="79" t="str">
        <f t="array" ref="G6">IF(ROW()&lt;9,"N/A",IFERROR(IF(ABS(F6-AVERAGE(INDEX('Seguimiento Semanal'!$G:$G,ROW()-7):INDEX('Seguimiento Semanal'!$G:$G,ROW()-4)))&lt;=ABS(AVERAGE(INDEX('Seguimiento Semanal'!$G:$G,ROW()-7):INDEX('Seguimiento Semanal'!$G:$G,ROW()-4)))*1%,"➡️ Estable",IF(F6&gt;AVERAGE(INDEX('Seguimiento Semanal'!$G:$G,ROW()-7):INDEX('Seguimiento Semanal'!$G:$G,ROW()-4)),"🔼 Subiendo","🔻 Bajando")),"N/A"))</f>
        <v>N/A</v>
      </c>
      <c r="H6" s="80">
        <f t="array" ref="H6">IFERROR(AVERAGE(INDEX('Seguimiento Semanal'!$I:$I,MAX(2,ROW()-3)):INDEX('Seguimiento Semanal'!$I:$I,ROW())),"")</f>
        <v>0</v>
      </c>
      <c r="I6" s="79" t="str">
        <f t="array" ref="I6">IF(ROW()&lt;9,"N/A",IFERROR(IF(ABS(H6-AVERAGE(INDEX('Seguimiento Semanal'!$I:$I,ROW()-7):INDEX('Seguimiento Semanal'!$I:$I,ROW()-4)))&lt;=ABS(AVERAGE(INDEX('Seguimiento Semanal'!$I:$I,ROW()-7):INDEX('Seguimiento Semanal'!$I:$I,ROW()-4)))*1%,"➡️ Estable",IF(H6&gt;AVERAGE(INDEX('Seguimiento Semanal'!$I:$I,ROW()-7):INDEX('Seguimiento Semanal'!$I:$I,ROW()-4)),"🔼 Subiendo","🔻 Bajando")),"N/A"))</f>
        <v>N/A</v>
      </c>
      <c r="J6" s="80">
        <f t="array" ref="J6">IFERROR(AVERAGE(INDEX('Seguimiento Semanal'!$K:$K,MAX(2,ROW()-3)):INDEX('Seguimiento Semanal'!$K:$K,ROW())),"")</f>
        <v>0</v>
      </c>
      <c r="K6" s="79" t="str">
        <f t="array" ref="K6">IF(ROW()&lt;9,"N/A",IFERROR(IF(ABS(J6-AVERAGE(INDEX('Seguimiento Semanal'!$K:$K,ROW()-7):INDEX('Seguimiento Semanal'!$K:$K,ROW()-4)))&lt;=ABS(AVERAGE(INDEX('Seguimiento Semanal'!$K:$K,ROW()-7):INDEX('Seguimiento Semanal'!$K:$K,ROW()-4)))*1%,"➡️ Estable",IF(J6&gt;AVERAGE(INDEX('Seguimiento Semanal'!$K:$K,ROW()-7):INDEX('Seguimiento Semanal'!$K:$K,ROW()-4)),"🔼 Subiendo","🔻 Bajando")),"N/A"))</f>
        <v>N/A</v>
      </c>
      <c r="L6" s="80">
        <f t="array" ref="L6">IFERROR(AVERAGE(INDEX('Seguimiento Semanal'!$M:$M,MAX(2,ROW()-3)):INDEX('Seguimiento Semanal'!$M:$M,ROW())),"")</f>
        <v>0</v>
      </c>
      <c r="M6" s="79" t="str">
        <f t="array" ref="M6">IF(ROW()&lt;9,"N/A",IFERROR(IF(ABS(L6-AVERAGE(INDEX('Seguimiento Semanal'!$M:$M,ROW()-7):INDEX('Seguimiento Semanal'!$M:$M,ROW()-4)))&lt;=ABS(AVERAGE(INDEX('Seguimiento Semanal'!$M:$M,ROW()-7):INDEX('Seguimiento Semanal'!$M:$M,ROW()-4)))*1%,"➡️ Estable",IF(L6&gt;AVERAGE(INDEX('Seguimiento Semanal'!$M:$M,ROW()-7):INDEX('Seguimiento Semanal'!$M:$M,ROW()-4)),"🔼 Subiendo","🔻 Bajando")),"N/A"))</f>
        <v>N/A</v>
      </c>
      <c r="N6" s="79">
        <f t="array" ref="N6">IFERROR(AVERAGE(INDEX('Seguimiento Semanal'!$N:$N,MAX(2,ROW()-3)):INDEX('Seguimiento Semanal'!$N:$N,ROW())),"")</f>
        <v>0</v>
      </c>
      <c r="O6" s="79" t="str">
        <f t="array" ref="O6">IF(ROW()&lt;9,"N/A",IFERROR(IF(ABS(N6-AVERAGE(INDEX('Seguimiento Semanal'!$N:$N,ROW()-7):INDEX('Seguimiento Semanal'!$N:$N,ROW()-4)))&lt;=ABS(AVERAGE(INDEX('Seguimiento Semanal'!$N:$N,ROW()-7):INDEX('Seguimiento Semanal'!$N:$N,ROW()-4)))*1%,"➡️ Estable",IF(N6&gt;AVERAGE(INDEX('Seguimiento Semanal'!$N:$N,ROW()-7):INDEX('Seguimiento Semanal'!$N:$N,ROW()-4)),"🔼 Subiendo","🔻 Bajando")),"N/A"))</f>
        <v>N/A</v>
      </c>
    </row>
    <row r="7">
      <c r="A7" s="79" t="str">
        <f>'Seguimiento Semanal'!A7</f>
        <v>Sem 6</v>
      </c>
      <c r="B7" s="79">
        <f t="array" ref="B7">IFERROR(AVERAGE(INDEX('Seguimiento Semanal'!$C:$C,MAX(2,ROW()-3)):INDEX('Seguimiento Semanal'!$C:$C,ROW())),"")</f>
        <v>0</v>
      </c>
      <c r="C7" s="79" t="str">
        <f t="array" ref="C7">IF(ROW()&lt;9,"N/A",IFERROR(IF(ABS(B7-AVERAGE(INDEX('Seguimiento Semanal'!$C:$C,ROW()-7):INDEX('Seguimiento Semanal'!$C:$C,ROW()-4)))&lt;=ABS(AVERAGE(INDEX('Seguimiento Semanal'!$C:$C,ROW()-7):INDEX('Seguimiento Semanal'!$C:$C,ROW()-4)))*1%,"➡️ Estable",IF(B7&gt;AVERAGE(INDEX('Seguimiento Semanal'!$C:$C,ROW()-7):INDEX('Seguimiento Semanal'!$C:$C,ROW()-4)),"🔼 Subiendo","🔻 Bajando")),"N/A"))</f>
        <v>N/A</v>
      </c>
      <c r="D7" s="80">
        <f t="array" ref="D7">IFERROR(AVERAGE(INDEX('Seguimiento Semanal'!$E:$E,MAX(2,ROW()-3)):INDEX('Seguimiento Semanal'!$E:$E,ROW())),"")</f>
        <v>0</v>
      </c>
      <c r="E7" s="79" t="str">
        <f t="array" ref="E7">IF(ROW()&lt;9,"N/A",IFERROR(IF(ABS(D7-AVERAGE(INDEX('Seguimiento Semanal'!$E:$E,ROW()-7):INDEX('Seguimiento Semanal'!$E:$E,ROW()-4)))&lt;=ABS(AVERAGE(INDEX('Seguimiento Semanal'!$E:$E,ROW()-7):INDEX('Seguimiento Semanal'!$E:$E,ROW()-4)))*1%,"➡️ Estable",IF(D7&gt;AVERAGE(INDEX('Seguimiento Semanal'!$E:$E,ROW()-7):INDEX('Seguimiento Semanal'!$E:$E,ROW()-4)),"🔼 Subiendo","🔻 Bajando")),"N/A"))</f>
        <v>N/A</v>
      </c>
      <c r="F7" s="80">
        <f t="array" ref="F7">IFERROR(AVERAGE(INDEX('Seguimiento Semanal'!$G:$G,MAX(2,ROW()-3)):INDEX('Seguimiento Semanal'!$G:$G,ROW())),"")</f>
        <v>0</v>
      </c>
      <c r="G7" s="79" t="str">
        <f t="array" ref="G7">IF(ROW()&lt;9,"N/A",IFERROR(IF(ABS(F7-AVERAGE(INDEX('Seguimiento Semanal'!$G:$G,ROW()-7):INDEX('Seguimiento Semanal'!$G:$G,ROW()-4)))&lt;=ABS(AVERAGE(INDEX('Seguimiento Semanal'!$G:$G,ROW()-7):INDEX('Seguimiento Semanal'!$G:$G,ROW()-4)))*1%,"➡️ Estable",IF(F7&gt;AVERAGE(INDEX('Seguimiento Semanal'!$G:$G,ROW()-7):INDEX('Seguimiento Semanal'!$G:$G,ROW()-4)),"🔼 Subiendo","🔻 Bajando")),"N/A"))</f>
        <v>N/A</v>
      </c>
      <c r="H7" s="80">
        <f t="array" ref="H7">IFERROR(AVERAGE(INDEX('Seguimiento Semanal'!$I:$I,MAX(2,ROW()-3)):INDEX('Seguimiento Semanal'!$I:$I,ROW())),"")</f>
        <v>0</v>
      </c>
      <c r="I7" s="79" t="str">
        <f t="array" ref="I7">IF(ROW()&lt;9,"N/A",IFERROR(IF(ABS(H7-AVERAGE(INDEX('Seguimiento Semanal'!$I:$I,ROW()-7):INDEX('Seguimiento Semanal'!$I:$I,ROW()-4)))&lt;=ABS(AVERAGE(INDEX('Seguimiento Semanal'!$I:$I,ROW()-7):INDEX('Seguimiento Semanal'!$I:$I,ROW()-4)))*1%,"➡️ Estable",IF(H7&gt;AVERAGE(INDEX('Seguimiento Semanal'!$I:$I,ROW()-7):INDEX('Seguimiento Semanal'!$I:$I,ROW()-4)),"🔼 Subiendo","🔻 Bajando")),"N/A"))</f>
        <v>N/A</v>
      </c>
      <c r="J7" s="80">
        <f t="array" ref="J7">IFERROR(AVERAGE(INDEX('Seguimiento Semanal'!$K:$K,MAX(2,ROW()-3)):INDEX('Seguimiento Semanal'!$K:$K,ROW())),"")</f>
        <v>0</v>
      </c>
      <c r="K7" s="79" t="str">
        <f t="array" ref="K7">IF(ROW()&lt;9,"N/A",IFERROR(IF(ABS(J7-AVERAGE(INDEX('Seguimiento Semanal'!$K:$K,ROW()-7):INDEX('Seguimiento Semanal'!$K:$K,ROW()-4)))&lt;=ABS(AVERAGE(INDEX('Seguimiento Semanal'!$K:$K,ROW()-7):INDEX('Seguimiento Semanal'!$K:$K,ROW()-4)))*1%,"➡️ Estable",IF(J7&gt;AVERAGE(INDEX('Seguimiento Semanal'!$K:$K,ROW()-7):INDEX('Seguimiento Semanal'!$K:$K,ROW()-4)),"🔼 Subiendo","🔻 Bajando")),"N/A"))</f>
        <v>N/A</v>
      </c>
      <c r="L7" s="80">
        <f t="array" ref="L7">IFERROR(AVERAGE(INDEX('Seguimiento Semanal'!$M:$M,MAX(2,ROW()-3)):INDEX('Seguimiento Semanal'!$M:$M,ROW())),"")</f>
        <v>0</v>
      </c>
      <c r="M7" s="79" t="str">
        <f t="array" ref="M7">IF(ROW()&lt;9,"N/A",IFERROR(IF(ABS(L7-AVERAGE(INDEX('Seguimiento Semanal'!$M:$M,ROW()-7):INDEX('Seguimiento Semanal'!$M:$M,ROW()-4)))&lt;=ABS(AVERAGE(INDEX('Seguimiento Semanal'!$M:$M,ROW()-7):INDEX('Seguimiento Semanal'!$M:$M,ROW()-4)))*1%,"➡️ Estable",IF(L7&gt;AVERAGE(INDEX('Seguimiento Semanal'!$M:$M,ROW()-7):INDEX('Seguimiento Semanal'!$M:$M,ROW()-4)),"🔼 Subiendo","🔻 Bajando")),"N/A"))</f>
        <v>N/A</v>
      </c>
      <c r="N7" s="79">
        <f t="array" ref="N7">IFERROR(AVERAGE(INDEX('Seguimiento Semanal'!$N:$N,MAX(2,ROW()-3)):INDEX('Seguimiento Semanal'!$N:$N,ROW())),"")</f>
        <v>0</v>
      </c>
      <c r="O7" s="79" t="str">
        <f t="array" ref="O7">IF(ROW()&lt;9,"N/A",IFERROR(IF(ABS(N7-AVERAGE(INDEX('Seguimiento Semanal'!$N:$N,ROW()-7):INDEX('Seguimiento Semanal'!$N:$N,ROW()-4)))&lt;=ABS(AVERAGE(INDEX('Seguimiento Semanal'!$N:$N,ROW()-7):INDEX('Seguimiento Semanal'!$N:$N,ROW()-4)))*1%,"➡️ Estable",IF(N7&gt;AVERAGE(INDEX('Seguimiento Semanal'!$N:$N,ROW()-7):INDEX('Seguimiento Semanal'!$N:$N,ROW()-4)),"🔼 Subiendo","🔻 Bajando")),"N/A"))</f>
        <v>N/A</v>
      </c>
    </row>
    <row r="8">
      <c r="A8" s="79" t="str">
        <f>'Seguimiento Semanal'!A8</f>
        <v>Sem 7</v>
      </c>
      <c r="B8" s="79">
        <f t="array" ref="B8">IFERROR(AVERAGE(INDEX('Seguimiento Semanal'!$C:$C,MAX(2,ROW()-3)):INDEX('Seguimiento Semanal'!$C:$C,ROW())),"")</f>
        <v>0</v>
      </c>
      <c r="C8" s="79" t="str">
        <f t="array" ref="C8">IF(ROW()&lt;9,"N/A",IFERROR(IF(ABS(B8-AVERAGE(INDEX('Seguimiento Semanal'!$C:$C,ROW()-7):INDEX('Seguimiento Semanal'!$C:$C,ROW()-4)))&lt;=ABS(AVERAGE(INDEX('Seguimiento Semanal'!$C:$C,ROW()-7):INDEX('Seguimiento Semanal'!$C:$C,ROW()-4)))*1%,"➡️ Estable",IF(B8&gt;AVERAGE(INDEX('Seguimiento Semanal'!$C:$C,ROW()-7):INDEX('Seguimiento Semanal'!$C:$C,ROW()-4)),"🔼 Subiendo","🔻 Bajando")),"N/A"))</f>
        <v>N/A</v>
      </c>
      <c r="D8" s="80">
        <f t="array" ref="D8">IFERROR(AVERAGE(INDEX('Seguimiento Semanal'!$E:$E,MAX(2,ROW()-3)):INDEX('Seguimiento Semanal'!$E:$E,ROW())),"")</f>
        <v>0</v>
      </c>
      <c r="E8" s="79" t="str">
        <f t="array" ref="E8">IF(ROW()&lt;9,"N/A",IFERROR(IF(ABS(D8-AVERAGE(INDEX('Seguimiento Semanal'!$E:$E,ROW()-7):INDEX('Seguimiento Semanal'!$E:$E,ROW()-4)))&lt;=ABS(AVERAGE(INDEX('Seguimiento Semanal'!$E:$E,ROW()-7):INDEX('Seguimiento Semanal'!$E:$E,ROW()-4)))*1%,"➡️ Estable",IF(D8&gt;AVERAGE(INDEX('Seguimiento Semanal'!$E:$E,ROW()-7):INDEX('Seguimiento Semanal'!$E:$E,ROW()-4)),"🔼 Subiendo","🔻 Bajando")),"N/A"))</f>
        <v>N/A</v>
      </c>
      <c r="F8" s="80">
        <f t="array" ref="F8">IFERROR(AVERAGE(INDEX('Seguimiento Semanal'!$G:$G,MAX(2,ROW()-3)):INDEX('Seguimiento Semanal'!$G:$G,ROW())),"")</f>
        <v>0</v>
      </c>
      <c r="G8" s="79" t="str">
        <f t="array" ref="G8">IF(ROW()&lt;9,"N/A",IFERROR(IF(ABS(F8-AVERAGE(INDEX('Seguimiento Semanal'!$G:$G,ROW()-7):INDEX('Seguimiento Semanal'!$G:$G,ROW()-4)))&lt;=ABS(AVERAGE(INDEX('Seguimiento Semanal'!$G:$G,ROW()-7):INDEX('Seguimiento Semanal'!$G:$G,ROW()-4)))*1%,"➡️ Estable",IF(F8&gt;AVERAGE(INDEX('Seguimiento Semanal'!$G:$G,ROW()-7):INDEX('Seguimiento Semanal'!$G:$G,ROW()-4)),"🔼 Subiendo","🔻 Bajando")),"N/A"))</f>
        <v>N/A</v>
      </c>
      <c r="H8" s="80">
        <f t="array" ref="H8">IFERROR(AVERAGE(INDEX('Seguimiento Semanal'!$I:$I,MAX(2,ROW()-3)):INDEX('Seguimiento Semanal'!$I:$I,ROW())),"")</f>
        <v>0</v>
      </c>
      <c r="I8" s="79" t="str">
        <f t="array" ref="I8">IF(ROW()&lt;9,"N/A",IFERROR(IF(ABS(H8-AVERAGE(INDEX('Seguimiento Semanal'!$I:$I,ROW()-7):INDEX('Seguimiento Semanal'!$I:$I,ROW()-4)))&lt;=ABS(AVERAGE(INDEX('Seguimiento Semanal'!$I:$I,ROW()-7):INDEX('Seguimiento Semanal'!$I:$I,ROW()-4)))*1%,"➡️ Estable",IF(H8&gt;AVERAGE(INDEX('Seguimiento Semanal'!$I:$I,ROW()-7):INDEX('Seguimiento Semanal'!$I:$I,ROW()-4)),"🔼 Subiendo","🔻 Bajando")),"N/A"))</f>
        <v>N/A</v>
      </c>
      <c r="J8" s="80">
        <f t="array" ref="J8">IFERROR(AVERAGE(INDEX('Seguimiento Semanal'!$K:$K,MAX(2,ROW()-3)):INDEX('Seguimiento Semanal'!$K:$K,ROW())),"")</f>
        <v>0</v>
      </c>
      <c r="K8" s="79" t="str">
        <f t="array" ref="K8">IF(ROW()&lt;9,"N/A",IFERROR(IF(ABS(J8-AVERAGE(INDEX('Seguimiento Semanal'!$K:$K,ROW()-7):INDEX('Seguimiento Semanal'!$K:$K,ROW()-4)))&lt;=ABS(AVERAGE(INDEX('Seguimiento Semanal'!$K:$K,ROW()-7):INDEX('Seguimiento Semanal'!$K:$K,ROW()-4)))*1%,"➡️ Estable",IF(J8&gt;AVERAGE(INDEX('Seguimiento Semanal'!$K:$K,ROW()-7):INDEX('Seguimiento Semanal'!$K:$K,ROW()-4)),"🔼 Subiendo","🔻 Bajando")),"N/A"))</f>
        <v>N/A</v>
      </c>
      <c r="L8" s="80">
        <f t="array" ref="L8">IFERROR(AVERAGE(INDEX('Seguimiento Semanal'!$M:$M,MAX(2,ROW()-3)):INDEX('Seguimiento Semanal'!$M:$M,ROW())),"")</f>
        <v>0</v>
      </c>
      <c r="M8" s="79" t="str">
        <f t="array" ref="M8">IF(ROW()&lt;9,"N/A",IFERROR(IF(ABS(L8-AVERAGE(INDEX('Seguimiento Semanal'!$M:$M,ROW()-7):INDEX('Seguimiento Semanal'!$M:$M,ROW()-4)))&lt;=ABS(AVERAGE(INDEX('Seguimiento Semanal'!$M:$M,ROW()-7):INDEX('Seguimiento Semanal'!$M:$M,ROW()-4)))*1%,"➡️ Estable",IF(L8&gt;AVERAGE(INDEX('Seguimiento Semanal'!$M:$M,ROW()-7):INDEX('Seguimiento Semanal'!$M:$M,ROW()-4)),"🔼 Subiendo","🔻 Bajando")),"N/A"))</f>
        <v>N/A</v>
      </c>
      <c r="N8" s="79">
        <f t="array" ref="N8">IFERROR(AVERAGE(INDEX('Seguimiento Semanal'!$N:$N,MAX(2,ROW()-3)):INDEX('Seguimiento Semanal'!$N:$N,ROW())),"")</f>
        <v>0</v>
      </c>
      <c r="O8" s="79" t="str">
        <f t="array" ref="O8">IF(ROW()&lt;9,"N/A",IFERROR(IF(ABS(N8-AVERAGE(INDEX('Seguimiento Semanal'!$N:$N,ROW()-7):INDEX('Seguimiento Semanal'!$N:$N,ROW()-4)))&lt;=ABS(AVERAGE(INDEX('Seguimiento Semanal'!$N:$N,ROW()-7):INDEX('Seguimiento Semanal'!$N:$N,ROW()-4)))*1%,"➡️ Estable",IF(N8&gt;AVERAGE(INDEX('Seguimiento Semanal'!$N:$N,ROW()-7):INDEX('Seguimiento Semanal'!$N:$N,ROW()-4)),"🔼 Subiendo","🔻 Bajando")),"N/A"))</f>
        <v>N/A</v>
      </c>
    </row>
    <row r="9">
      <c r="A9" s="79" t="str">
        <f>'Seguimiento Semanal'!A9</f>
        <v>Sem 8</v>
      </c>
      <c r="B9" s="79">
        <f t="array" ref="B9">IFERROR(AVERAGE(INDEX('Seguimiento Semanal'!$C:$C,MAX(2,ROW()-3)):INDEX('Seguimiento Semanal'!$C:$C,ROW())),"")</f>
        <v>0</v>
      </c>
      <c r="C9" s="79" t="str">
        <f t="array" ref="C9">IF(ROW()&lt;9,"N/A",IFERROR(IF(ABS(B9-AVERAGE(INDEX('Seguimiento Semanal'!$C:$C,ROW()-7):INDEX('Seguimiento Semanal'!$C:$C,ROW()-4)))&lt;=ABS(AVERAGE(INDEX('Seguimiento Semanal'!$C:$C,ROW()-7):INDEX('Seguimiento Semanal'!$C:$C,ROW()-4)))*1%,"➡️ Estable",IF(B9&gt;AVERAGE(INDEX('Seguimiento Semanal'!$C:$C,ROW()-7):INDEX('Seguimiento Semanal'!$C:$C,ROW()-4)),"🔼 Subiendo","🔻 Bajando")),"N/A"))</f>
        <v>➡️ Estable</v>
      </c>
      <c r="D9" s="80">
        <f t="array" ref="D9">IFERROR(AVERAGE(INDEX('Seguimiento Semanal'!$E:$E,MAX(2,ROW()-3)):INDEX('Seguimiento Semanal'!$E:$E,ROW())),"")</f>
        <v>0</v>
      </c>
      <c r="E9" s="79" t="str">
        <f t="array" ref="E9">IF(ROW()&lt;9,"N/A",IFERROR(IF(ABS(D9-AVERAGE(INDEX('Seguimiento Semanal'!$E:$E,ROW()-7):INDEX('Seguimiento Semanal'!$E:$E,ROW()-4)))&lt;=ABS(AVERAGE(INDEX('Seguimiento Semanal'!$E:$E,ROW()-7):INDEX('Seguimiento Semanal'!$E:$E,ROW()-4)))*1%,"➡️ Estable",IF(D9&gt;AVERAGE(INDEX('Seguimiento Semanal'!$E:$E,ROW()-7):INDEX('Seguimiento Semanal'!$E:$E,ROW()-4)),"🔼 Subiendo","🔻 Bajando")),"N/A"))</f>
        <v>➡️ Estable</v>
      </c>
      <c r="F9" s="80">
        <f t="array" ref="F9">IFERROR(AVERAGE(INDEX('Seguimiento Semanal'!$G:$G,MAX(2,ROW()-3)):INDEX('Seguimiento Semanal'!$G:$G,ROW())),"")</f>
        <v>0</v>
      </c>
      <c r="G9" s="79" t="str">
        <f t="array" ref="G9">IF(ROW()&lt;9,"N/A",IFERROR(IF(ABS(F9-AVERAGE(INDEX('Seguimiento Semanal'!$G:$G,ROW()-7):INDEX('Seguimiento Semanal'!$G:$G,ROW()-4)))&lt;=ABS(AVERAGE(INDEX('Seguimiento Semanal'!$G:$G,ROW()-7):INDEX('Seguimiento Semanal'!$G:$G,ROW()-4)))*1%,"➡️ Estable",IF(F9&gt;AVERAGE(INDEX('Seguimiento Semanal'!$G:$G,ROW()-7):INDEX('Seguimiento Semanal'!$G:$G,ROW()-4)),"🔼 Subiendo","🔻 Bajando")),"N/A"))</f>
        <v>➡️ Estable</v>
      </c>
      <c r="H9" s="80">
        <f t="array" ref="H9">IFERROR(AVERAGE(INDEX('Seguimiento Semanal'!$I:$I,MAX(2,ROW()-3)):INDEX('Seguimiento Semanal'!$I:$I,ROW())),"")</f>
        <v>0</v>
      </c>
      <c r="I9" s="79" t="str">
        <f t="array" ref="I9">IF(ROW()&lt;9,"N/A",IFERROR(IF(ABS(H9-AVERAGE(INDEX('Seguimiento Semanal'!$I:$I,ROW()-7):INDEX('Seguimiento Semanal'!$I:$I,ROW()-4)))&lt;=ABS(AVERAGE(INDEX('Seguimiento Semanal'!$I:$I,ROW()-7):INDEX('Seguimiento Semanal'!$I:$I,ROW()-4)))*1%,"➡️ Estable",IF(H9&gt;AVERAGE(INDEX('Seguimiento Semanal'!$I:$I,ROW()-7):INDEX('Seguimiento Semanal'!$I:$I,ROW()-4)),"🔼 Subiendo","🔻 Bajando")),"N/A"))</f>
        <v>➡️ Estable</v>
      </c>
      <c r="J9" s="80">
        <f t="array" ref="J9">IFERROR(AVERAGE(INDEX('Seguimiento Semanal'!$K:$K,MAX(2,ROW()-3)):INDEX('Seguimiento Semanal'!$K:$K,ROW())),"")</f>
        <v>0</v>
      </c>
      <c r="K9" s="79" t="str">
        <f t="array" ref="K9">IF(ROW()&lt;9,"N/A",IFERROR(IF(ABS(J9-AVERAGE(INDEX('Seguimiento Semanal'!$K:$K,ROW()-7):INDEX('Seguimiento Semanal'!$K:$K,ROW()-4)))&lt;=ABS(AVERAGE(INDEX('Seguimiento Semanal'!$K:$K,ROW()-7):INDEX('Seguimiento Semanal'!$K:$K,ROW()-4)))*1%,"➡️ Estable",IF(J9&gt;AVERAGE(INDEX('Seguimiento Semanal'!$K:$K,ROW()-7):INDEX('Seguimiento Semanal'!$K:$K,ROW()-4)),"🔼 Subiendo","🔻 Bajando")),"N/A"))</f>
        <v>➡️ Estable</v>
      </c>
      <c r="L9" s="80">
        <f t="array" ref="L9">IFERROR(AVERAGE(INDEX('Seguimiento Semanal'!$M:$M,MAX(2,ROW()-3)):INDEX('Seguimiento Semanal'!$M:$M,ROW())),"")</f>
        <v>0</v>
      </c>
      <c r="M9" s="79" t="str">
        <f t="array" ref="M9">IF(ROW()&lt;9,"N/A",IFERROR(IF(ABS(L9-AVERAGE(INDEX('Seguimiento Semanal'!$M:$M,ROW()-7):INDEX('Seguimiento Semanal'!$M:$M,ROW()-4)))&lt;=ABS(AVERAGE(INDEX('Seguimiento Semanal'!$M:$M,ROW()-7):INDEX('Seguimiento Semanal'!$M:$M,ROW()-4)))*1%,"➡️ Estable",IF(L9&gt;AVERAGE(INDEX('Seguimiento Semanal'!$M:$M,ROW()-7):INDEX('Seguimiento Semanal'!$M:$M,ROW()-4)),"🔼 Subiendo","🔻 Bajando")),"N/A"))</f>
        <v>➡️ Estable</v>
      </c>
      <c r="N9" s="79">
        <f t="array" ref="N9">IFERROR(AVERAGE(INDEX('Seguimiento Semanal'!$N:$N,MAX(2,ROW()-3)):INDEX('Seguimiento Semanal'!$N:$N,ROW())),"")</f>
        <v>0</v>
      </c>
      <c r="O9" s="79" t="str">
        <f t="array" ref="O9">IF(ROW()&lt;9,"N/A",IFERROR(IF(ABS(N9-AVERAGE(INDEX('Seguimiento Semanal'!$N:$N,ROW()-7):INDEX('Seguimiento Semanal'!$N:$N,ROW()-4)))&lt;=ABS(AVERAGE(INDEX('Seguimiento Semanal'!$N:$N,ROW()-7):INDEX('Seguimiento Semanal'!$N:$N,ROW()-4)))*1%,"➡️ Estable",IF(N9&gt;AVERAGE(INDEX('Seguimiento Semanal'!$N:$N,ROW()-7):INDEX('Seguimiento Semanal'!$N:$N,ROW()-4)),"🔼 Subiendo","🔻 Bajando")),"N/A"))</f>
        <v>➡️ Estable</v>
      </c>
    </row>
    <row r="10">
      <c r="A10" s="79" t="str">
        <f>'Seguimiento Semanal'!A10</f>
        <v>Sem 9</v>
      </c>
      <c r="B10" s="79">
        <f t="array" ref="B10">IFERROR(AVERAGE(INDEX('Seguimiento Semanal'!$C:$C,MAX(2,ROW()-3)):INDEX('Seguimiento Semanal'!$C:$C,ROW())),"")</f>
        <v>0</v>
      </c>
      <c r="C10" s="79" t="str">
        <f t="array" ref="C10">IF(ROW()&lt;9,"N/A",IFERROR(IF(ABS(B10-AVERAGE(INDEX('Seguimiento Semanal'!$C:$C,ROW()-7):INDEX('Seguimiento Semanal'!$C:$C,ROW()-4)))&lt;=ABS(AVERAGE(INDEX('Seguimiento Semanal'!$C:$C,ROW()-7):INDEX('Seguimiento Semanal'!$C:$C,ROW()-4)))*1%,"➡️ Estable",IF(B10&gt;AVERAGE(INDEX('Seguimiento Semanal'!$C:$C,ROW()-7):INDEX('Seguimiento Semanal'!$C:$C,ROW()-4)),"🔼 Subiendo","🔻 Bajando")),"N/A"))</f>
        <v>➡️ Estable</v>
      </c>
      <c r="D10" s="80">
        <f t="array" ref="D10">IFERROR(AVERAGE(INDEX('Seguimiento Semanal'!$E:$E,MAX(2,ROW()-3)):INDEX('Seguimiento Semanal'!$E:$E,ROW())),"")</f>
        <v>0</v>
      </c>
      <c r="E10" s="79" t="str">
        <f t="array" ref="E10">IF(ROW()&lt;9,"N/A",IFERROR(IF(ABS(D10-AVERAGE(INDEX('Seguimiento Semanal'!$E:$E,ROW()-7):INDEX('Seguimiento Semanal'!$E:$E,ROW()-4)))&lt;=ABS(AVERAGE(INDEX('Seguimiento Semanal'!$E:$E,ROW()-7):INDEX('Seguimiento Semanal'!$E:$E,ROW()-4)))*1%,"➡️ Estable",IF(D10&gt;AVERAGE(INDEX('Seguimiento Semanal'!$E:$E,ROW()-7):INDEX('Seguimiento Semanal'!$E:$E,ROW()-4)),"🔼 Subiendo","🔻 Bajando")),"N/A"))</f>
        <v>➡️ Estable</v>
      </c>
      <c r="F10" s="80">
        <f t="array" ref="F10">IFERROR(AVERAGE(INDEX('Seguimiento Semanal'!$G:$G,MAX(2,ROW()-3)):INDEX('Seguimiento Semanal'!$G:$G,ROW())),"")</f>
        <v>0</v>
      </c>
      <c r="G10" s="79" t="str">
        <f t="array" ref="G10">IF(ROW()&lt;9,"N/A",IFERROR(IF(ABS(F10-AVERAGE(INDEX('Seguimiento Semanal'!$G:$G,ROW()-7):INDEX('Seguimiento Semanal'!$G:$G,ROW()-4)))&lt;=ABS(AVERAGE(INDEX('Seguimiento Semanal'!$G:$G,ROW()-7):INDEX('Seguimiento Semanal'!$G:$G,ROW()-4)))*1%,"➡️ Estable",IF(F10&gt;AVERAGE(INDEX('Seguimiento Semanal'!$G:$G,ROW()-7):INDEX('Seguimiento Semanal'!$G:$G,ROW()-4)),"🔼 Subiendo","🔻 Bajando")),"N/A"))</f>
        <v>➡️ Estable</v>
      </c>
      <c r="H10" s="80">
        <f t="array" ref="H10">IFERROR(AVERAGE(INDEX('Seguimiento Semanal'!$I:$I,MAX(2,ROW()-3)):INDEX('Seguimiento Semanal'!$I:$I,ROW())),"")</f>
        <v>0</v>
      </c>
      <c r="I10" s="79" t="str">
        <f t="array" ref="I10">IF(ROW()&lt;9,"N/A",IFERROR(IF(ABS(H10-AVERAGE(INDEX('Seguimiento Semanal'!$I:$I,ROW()-7):INDEX('Seguimiento Semanal'!$I:$I,ROW()-4)))&lt;=ABS(AVERAGE(INDEX('Seguimiento Semanal'!$I:$I,ROW()-7):INDEX('Seguimiento Semanal'!$I:$I,ROW()-4)))*1%,"➡️ Estable",IF(H10&gt;AVERAGE(INDEX('Seguimiento Semanal'!$I:$I,ROW()-7):INDEX('Seguimiento Semanal'!$I:$I,ROW()-4)),"🔼 Subiendo","🔻 Bajando")),"N/A"))</f>
        <v>➡️ Estable</v>
      </c>
      <c r="J10" s="80">
        <f t="array" ref="J10">IFERROR(AVERAGE(INDEX('Seguimiento Semanal'!$K:$K,MAX(2,ROW()-3)):INDEX('Seguimiento Semanal'!$K:$K,ROW())),"")</f>
        <v>0</v>
      </c>
      <c r="K10" s="79" t="str">
        <f t="array" ref="K10">IF(ROW()&lt;9,"N/A",IFERROR(IF(ABS(J10-AVERAGE(INDEX('Seguimiento Semanal'!$K:$K,ROW()-7):INDEX('Seguimiento Semanal'!$K:$K,ROW()-4)))&lt;=ABS(AVERAGE(INDEX('Seguimiento Semanal'!$K:$K,ROW()-7):INDEX('Seguimiento Semanal'!$K:$K,ROW()-4)))*1%,"➡️ Estable",IF(J10&gt;AVERAGE(INDEX('Seguimiento Semanal'!$K:$K,ROW()-7):INDEX('Seguimiento Semanal'!$K:$K,ROW()-4)),"🔼 Subiendo","🔻 Bajando")),"N/A"))</f>
        <v>➡️ Estable</v>
      </c>
      <c r="L10" s="80">
        <f t="array" ref="L10">IFERROR(AVERAGE(INDEX('Seguimiento Semanal'!$M:$M,MAX(2,ROW()-3)):INDEX('Seguimiento Semanal'!$M:$M,ROW())),"")</f>
        <v>0</v>
      </c>
      <c r="M10" s="79" t="str">
        <f t="array" ref="M10">IF(ROW()&lt;9,"N/A",IFERROR(IF(ABS(L10-AVERAGE(INDEX('Seguimiento Semanal'!$M:$M,ROW()-7):INDEX('Seguimiento Semanal'!$M:$M,ROW()-4)))&lt;=ABS(AVERAGE(INDEX('Seguimiento Semanal'!$M:$M,ROW()-7):INDEX('Seguimiento Semanal'!$M:$M,ROW()-4)))*1%,"➡️ Estable",IF(L10&gt;AVERAGE(INDEX('Seguimiento Semanal'!$M:$M,ROW()-7):INDEX('Seguimiento Semanal'!$M:$M,ROW()-4)),"🔼 Subiendo","🔻 Bajando")),"N/A"))</f>
        <v>➡️ Estable</v>
      </c>
      <c r="N10" s="79">
        <f t="array" ref="N10">IFERROR(AVERAGE(INDEX('Seguimiento Semanal'!$N:$N,MAX(2,ROW()-3)):INDEX('Seguimiento Semanal'!$N:$N,ROW())),"")</f>
        <v>0</v>
      </c>
      <c r="O10" s="79" t="str">
        <f t="array" ref="O10">IF(ROW()&lt;9,"N/A",IFERROR(IF(ABS(N10-AVERAGE(INDEX('Seguimiento Semanal'!$N:$N,ROW()-7):INDEX('Seguimiento Semanal'!$N:$N,ROW()-4)))&lt;=ABS(AVERAGE(INDEX('Seguimiento Semanal'!$N:$N,ROW()-7):INDEX('Seguimiento Semanal'!$N:$N,ROW()-4)))*1%,"➡️ Estable",IF(N10&gt;AVERAGE(INDEX('Seguimiento Semanal'!$N:$N,ROW()-7):INDEX('Seguimiento Semanal'!$N:$N,ROW()-4)),"🔼 Subiendo","🔻 Bajando")),"N/A"))</f>
        <v>➡️ Estable</v>
      </c>
    </row>
    <row r="11">
      <c r="A11" s="79" t="str">
        <f>'Seguimiento Semanal'!A11</f>
        <v>Sem 10</v>
      </c>
      <c r="B11" s="79">
        <f t="array" ref="B11">IFERROR(AVERAGE(INDEX('Seguimiento Semanal'!$C:$C,MAX(2,ROW()-3)):INDEX('Seguimiento Semanal'!$C:$C,ROW())),"")</f>
        <v>0</v>
      </c>
      <c r="C11" s="79" t="str">
        <f t="array" ref="C11">IF(ROW()&lt;9,"N/A",IFERROR(IF(ABS(B11-AVERAGE(INDEX('Seguimiento Semanal'!$C:$C,ROW()-7):INDEX('Seguimiento Semanal'!$C:$C,ROW()-4)))&lt;=ABS(AVERAGE(INDEX('Seguimiento Semanal'!$C:$C,ROW()-7):INDEX('Seguimiento Semanal'!$C:$C,ROW()-4)))*1%,"➡️ Estable",IF(B11&gt;AVERAGE(INDEX('Seguimiento Semanal'!$C:$C,ROW()-7):INDEX('Seguimiento Semanal'!$C:$C,ROW()-4)),"🔼 Subiendo","🔻 Bajando")),"N/A"))</f>
        <v>➡️ Estable</v>
      </c>
      <c r="D11" s="80">
        <f t="array" ref="D11">IFERROR(AVERAGE(INDEX('Seguimiento Semanal'!$E:$E,MAX(2,ROW()-3)):INDEX('Seguimiento Semanal'!$E:$E,ROW())),"")</f>
        <v>0</v>
      </c>
      <c r="E11" s="79" t="str">
        <f t="array" ref="E11">IF(ROW()&lt;9,"N/A",IFERROR(IF(ABS(D11-AVERAGE(INDEX('Seguimiento Semanal'!$E:$E,ROW()-7):INDEX('Seguimiento Semanal'!$E:$E,ROW()-4)))&lt;=ABS(AVERAGE(INDEX('Seguimiento Semanal'!$E:$E,ROW()-7):INDEX('Seguimiento Semanal'!$E:$E,ROW()-4)))*1%,"➡️ Estable",IF(D11&gt;AVERAGE(INDEX('Seguimiento Semanal'!$E:$E,ROW()-7):INDEX('Seguimiento Semanal'!$E:$E,ROW()-4)),"🔼 Subiendo","🔻 Bajando")),"N/A"))</f>
        <v>➡️ Estable</v>
      </c>
      <c r="F11" s="80">
        <f t="array" ref="F11">IFERROR(AVERAGE(INDEX('Seguimiento Semanal'!$G:$G,MAX(2,ROW()-3)):INDEX('Seguimiento Semanal'!$G:$G,ROW())),"")</f>
        <v>0</v>
      </c>
      <c r="G11" s="79" t="str">
        <f t="array" ref="G11">IF(ROW()&lt;9,"N/A",IFERROR(IF(ABS(F11-AVERAGE(INDEX('Seguimiento Semanal'!$G:$G,ROW()-7):INDEX('Seguimiento Semanal'!$G:$G,ROW()-4)))&lt;=ABS(AVERAGE(INDEX('Seguimiento Semanal'!$G:$G,ROW()-7):INDEX('Seguimiento Semanal'!$G:$G,ROW()-4)))*1%,"➡️ Estable",IF(F11&gt;AVERAGE(INDEX('Seguimiento Semanal'!$G:$G,ROW()-7):INDEX('Seguimiento Semanal'!$G:$G,ROW()-4)),"🔼 Subiendo","🔻 Bajando")),"N/A"))</f>
        <v>➡️ Estable</v>
      </c>
      <c r="H11" s="80">
        <f t="array" ref="H11">IFERROR(AVERAGE(INDEX('Seguimiento Semanal'!$I:$I,MAX(2,ROW()-3)):INDEX('Seguimiento Semanal'!$I:$I,ROW())),"")</f>
        <v>0</v>
      </c>
      <c r="I11" s="79" t="str">
        <f t="array" ref="I11">IF(ROW()&lt;9,"N/A",IFERROR(IF(ABS(H11-AVERAGE(INDEX('Seguimiento Semanal'!$I:$I,ROW()-7):INDEX('Seguimiento Semanal'!$I:$I,ROW()-4)))&lt;=ABS(AVERAGE(INDEX('Seguimiento Semanal'!$I:$I,ROW()-7):INDEX('Seguimiento Semanal'!$I:$I,ROW()-4)))*1%,"➡️ Estable",IF(H11&gt;AVERAGE(INDEX('Seguimiento Semanal'!$I:$I,ROW()-7):INDEX('Seguimiento Semanal'!$I:$I,ROW()-4)),"🔼 Subiendo","🔻 Bajando")),"N/A"))</f>
        <v>➡️ Estable</v>
      </c>
      <c r="J11" s="80">
        <f t="array" ref="J11">IFERROR(AVERAGE(INDEX('Seguimiento Semanal'!$K:$K,MAX(2,ROW()-3)):INDEX('Seguimiento Semanal'!$K:$K,ROW())),"")</f>
        <v>0</v>
      </c>
      <c r="K11" s="79" t="str">
        <f t="array" ref="K11">IF(ROW()&lt;9,"N/A",IFERROR(IF(ABS(J11-AVERAGE(INDEX('Seguimiento Semanal'!$K:$K,ROW()-7):INDEX('Seguimiento Semanal'!$K:$K,ROW()-4)))&lt;=ABS(AVERAGE(INDEX('Seguimiento Semanal'!$K:$K,ROW()-7):INDEX('Seguimiento Semanal'!$K:$K,ROW()-4)))*1%,"➡️ Estable",IF(J11&gt;AVERAGE(INDEX('Seguimiento Semanal'!$K:$K,ROW()-7):INDEX('Seguimiento Semanal'!$K:$K,ROW()-4)),"🔼 Subiendo","🔻 Bajando")),"N/A"))</f>
        <v>➡️ Estable</v>
      </c>
      <c r="L11" s="80">
        <f t="array" ref="L11">IFERROR(AVERAGE(INDEX('Seguimiento Semanal'!$M:$M,MAX(2,ROW()-3)):INDEX('Seguimiento Semanal'!$M:$M,ROW())),"")</f>
        <v>0</v>
      </c>
      <c r="M11" s="79" t="str">
        <f t="array" ref="M11">IF(ROW()&lt;9,"N/A",IFERROR(IF(ABS(L11-AVERAGE(INDEX('Seguimiento Semanal'!$M:$M,ROW()-7):INDEX('Seguimiento Semanal'!$M:$M,ROW()-4)))&lt;=ABS(AVERAGE(INDEX('Seguimiento Semanal'!$M:$M,ROW()-7):INDEX('Seguimiento Semanal'!$M:$M,ROW()-4)))*1%,"➡️ Estable",IF(L11&gt;AVERAGE(INDEX('Seguimiento Semanal'!$M:$M,ROW()-7):INDEX('Seguimiento Semanal'!$M:$M,ROW()-4)),"🔼 Subiendo","🔻 Bajando")),"N/A"))</f>
        <v>➡️ Estable</v>
      </c>
      <c r="N11" s="79">
        <f t="array" ref="N11">IFERROR(AVERAGE(INDEX('Seguimiento Semanal'!$N:$N,MAX(2,ROW()-3)):INDEX('Seguimiento Semanal'!$N:$N,ROW())),"")</f>
        <v>0</v>
      </c>
      <c r="O11" s="79" t="str">
        <f t="array" ref="O11">IF(ROW()&lt;9,"N/A",IFERROR(IF(ABS(N11-AVERAGE(INDEX('Seguimiento Semanal'!$N:$N,ROW()-7):INDEX('Seguimiento Semanal'!$N:$N,ROW()-4)))&lt;=ABS(AVERAGE(INDEX('Seguimiento Semanal'!$N:$N,ROW()-7):INDEX('Seguimiento Semanal'!$N:$N,ROW()-4)))*1%,"➡️ Estable",IF(N11&gt;AVERAGE(INDEX('Seguimiento Semanal'!$N:$N,ROW()-7):INDEX('Seguimiento Semanal'!$N:$N,ROW()-4)),"🔼 Subiendo","🔻 Bajando")),"N/A"))</f>
        <v>➡️ Estable</v>
      </c>
    </row>
    <row r="12">
      <c r="A12" s="79" t="str">
        <f>'Seguimiento Semanal'!A12</f>
        <v>Sem 11</v>
      </c>
      <c r="B12" s="79">
        <f t="array" ref="B12">IFERROR(AVERAGE(INDEX('Seguimiento Semanal'!$C:$C,MAX(2,ROW()-3)):INDEX('Seguimiento Semanal'!$C:$C,ROW())),"")</f>
        <v>0</v>
      </c>
      <c r="C12" s="79" t="str">
        <f t="array" ref="C12">IF(ROW()&lt;9,"N/A",IFERROR(IF(ABS(B12-AVERAGE(INDEX('Seguimiento Semanal'!$C:$C,ROW()-7):INDEX('Seguimiento Semanal'!$C:$C,ROW()-4)))&lt;=ABS(AVERAGE(INDEX('Seguimiento Semanal'!$C:$C,ROW()-7):INDEX('Seguimiento Semanal'!$C:$C,ROW()-4)))*1%,"➡️ Estable",IF(B12&gt;AVERAGE(INDEX('Seguimiento Semanal'!$C:$C,ROW()-7):INDEX('Seguimiento Semanal'!$C:$C,ROW()-4)),"🔼 Subiendo","🔻 Bajando")),"N/A"))</f>
        <v>➡️ Estable</v>
      </c>
      <c r="D12" s="80">
        <f t="array" ref="D12">IFERROR(AVERAGE(INDEX('Seguimiento Semanal'!$E:$E,MAX(2,ROW()-3)):INDEX('Seguimiento Semanal'!$E:$E,ROW())),"")</f>
        <v>0</v>
      </c>
      <c r="E12" s="79" t="str">
        <f t="array" ref="E12">IF(ROW()&lt;9,"N/A",IFERROR(IF(ABS(D12-AVERAGE(INDEX('Seguimiento Semanal'!$E:$E,ROW()-7):INDEX('Seguimiento Semanal'!$E:$E,ROW()-4)))&lt;=ABS(AVERAGE(INDEX('Seguimiento Semanal'!$E:$E,ROW()-7):INDEX('Seguimiento Semanal'!$E:$E,ROW()-4)))*1%,"➡️ Estable",IF(D12&gt;AVERAGE(INDEX('Seguimiento Semanal'!$E:$E,ROW()-7):INDEX('Seguimiento Semanal'!$E:$E,ROW()-4)),"🔼 Subiendo","🔻 Bajando")),"N/A"))</f>
        <v>➡️ Estable</v>
      </c>
      <c r="F12" s="80">
        <f t="array" ref="F12">IFERROR(AVERAGE(INDEX('Seguimiento Semanal'!$G:$G,MAX(2,ROW()-3)):INDEX('Seguimiento Semanal'!$G:$G,ROW())),"")</f>
        <v>0</v>
      </c>
      <c r="G12" s="79" t="str">
        <f t="array" ref="G12">IF(ROW()&lt;9,"N/A",IFERROR(IF(ABS(F12-AVERAGE(INDEX('Seguimiento Semanal'!$G:$G,ROW()-7):INDEX('Seguimiento Semanal'!$G:$G,ROW()-4)))&lt;=ABS(AVERAGE(INDEX('Seguimiento Semanal'!$G:$G,ROW()-7):INDEX('Seguimiento Semanal'!$G:$G,ROW()-4)))*1%,"➡️ Estable",IF(F12&gt;AVERAGE(INDEX('Seguimiento Semanal'!$G:$G,ROW()-7):INDEX('Seguimiento Semanal'!$G:$G,ROW()-4)),"🔼 Subiendo","🔻 Bajando")),"N/A"))</f>
        <v>➡️ Estable</v>
      </c>
      <c r="H12" s="80">
        <f t="array" ref="H12">IFERROR(AVERAGE(INDEX('Seguimiento Semanal'!$I:$I,MAX(2,ROW()-3)):INDEX('Seguimiento Semanal'!$I:$I,ROW())),"")</f>
        <v>0</v>
      </c>
      <c r="I12" s="79" t="str">
        <f t="array" ref="I12">IF(ROW()&lt;9,"N/A",IFERROR(IF(ABS(H12-AVERAGE(INDEX('Seguimiento Semanal'!$I:$I,ROW()-7):INDEX('Seguimiento Semanal'!$I:$I,ROW()-4)))&lt;=ABS(AVERAGE(INDEX('Seguimiento Semanal'!$I:$I,ROW()-7):INDEX('Seguimiento Semanal'!$I:$I,ROW()-4)))*1%,"➡️ Estable",IF(H12&gt;AVERAGE(INDEX('Seguimiento Semanal'!$I:$I,ROW()-7):INDEX('Seguimiento Semanal'!$I:$I,ROW()-4)),"🔼 Subiendo","🔻 Bajando")),"N/A"))</f>
        <v>➡️ Estable</v>
      </c>
      <c r="J12" s="80">
        <f t="array" ref="J12">IFERROR(AVERAGE(INDEX('Seguimiento Semanal'!$K:$K,MAX(2,ROW()-3)):INDEX('Seguimiento Semanal'!$K:$K,ROW())),"")</f>
        <v>0</v>
      </c>
      <c r="K12" s="79" t="str">
        <f t="array" ref="K12">IF(ROW()&lt;9,"N/A",IFERROR(IF(ABS(J12-AVERAGE(INDEX('Seguimiento Semanal'!$K:$K,ROW()-7):INDEX('Seguimiento Semanal'!$K:$K,ROW()-4)))&lt;=ABS(AVERAGE(INDEX('Seguimiento Semanal'!$K:$K,ROW()-7):INDEX('Seguimiento Semanal'!$K:$K,ROW()-4)))*1%,"➡️ Estable",IF(J12&gt;AVERAGE(INDEX('Seguimiento Semanal'!$K:$K,ROW()-7):INDEX('Seguimiento Semanal'!$K:$K,ROW()-4)),"🔼 Subiendo","🔻 Bajando")),"N/A"))</f>
        <v>➡️ Estable</v>
      </c>
      <c r="L12" s="80">
        <f t="array" ref="L12">IFERROR(AVERAGE(INDEX('Seguimiento Semanal'!$M:$M,MAX(2,ROW()-3)):INDEX('Seguimiento Semanal'!$M:$M,ROW())),"")</f>
        <v>0</v>
      </c>
      <c r="M12" s="79" t="str">
        <f t="array" ref="M12">IF(ROW()&lt;9,"N/A",IFERROR(IF(ABS(L12-AVERAGE(INDEX('Seguimiento Semanal'!$M:$M,ROW()-7):INDEX('Seguimiento Semanal'!$M:$M,ROW()-4)))&lt;=ABS(AVERAGE(INDEX('Seguimiento Semanal'!$M:$M,ROW()-7):INDEX('Seguimiento Semanal'!$M:$M,ROW()-4)))*1%,"➡️ Estable",IF(L12&gt;AVERAGE(INDEX('Seguimiento Semanal'!$M:$M,ROW()-7):INDEX('Seguimiento Semanal'!$M:$M,ROW()-4)),"🔼 Subiendo","🔻 Bajando")),"N/A"))</f>
        <v>➡️ Estable</v>
      </c>
      <c r="N12" s="79">
        <f t="array" ref="N12">IFERROR(AVERAGE(INDEX('Seguimiento Semanal'!$N:$N,MAX(2,ROW()-3)):INDEX('Seguimiento Semanal'!$N:$N,ROW())),"")</f>
        <v>0</v>
      </c>
      <c r="O12" s="79" t="str">
        <f t="array" ref="O12">IF(ROW()&lt;9,"N/A",IFERROR(IF(ABS(N12-AVERAGE(INDEX('Seguimiento Semanal'!$N:$N,ROW()-7):INDEX('Seguimiento Semanal'!$N:$N,ROW()-4)))&lt;=ABS(AVERAGE(INDEX('Seguimiento Semanal'!$N:$N,ROW()-7):INDEX('Seguimiento Semanal'!$N:$N,ROW()-4)))*1%,"➡️ Estable",IF(N12&gt;AVERAGE(INDEX('Seguimiento Semanal'!$N:$N,ROW()-7):INDEX('Seguimiento Semanal'!$N:$N,ROW()-4)),"🔼 Subiendo","🔻 Bajando")),"N/A"))</f>
        <v>➡️ Estable</v>
      </c>
    </row>
    <row r="13">
      <c r="A13" s="79" t="str">
        <f>'Seguimiento Semanal'!A13</f>
        <v>Sem 12</v>
      </c>
      <c r="B13" s="79">
        <f t="array" ref="B13">IFERROR(AVERAGE(INDEX('Seguimiento Semanal'!$C:$C,MAX(2,ROW()-3)):INDEX('Seguimiento Semanal'!$C:$C,ROW())),"")</f>
        <v>0</v>
      </c>
      <c r="C13" s="79" t="str">
        <f t="array" ref="C13">IF(ROW()&lt;9,"N/A",IFERROR(IF(ABS(B13-AVERAGE(INDEX('Seguimiento Semanal'!$C:$C,ROW()-7):INDEX('Seguimiento Semanal'!$C:$C,ROW()-4)))&lt;=ABS(AVERAGE(INDEX('Seguimiento Semanal'!$C:$C,ROW()-7):INDEX('Seguimiento Semanal'!$C:$C,ROW()-4)))*1%,"➡️ Estable",IF(B13&gt;AVERAGE(INDEX('Seguimiento Semanal'!$C:$C,ROW()-7):INDEX('Seguimiento Semanal'!$C:$C,ROW()-4)),"🔼 Subiendo","🔻 Bajando")),"N/A"))</f>
        <v>➡️ Estable</v>
      </c>
      <c r="D13" s="80">
        <f t="array" ref="D13">IFERROR(AVERAGE(INDEX('Seguimiento Semanal'!$E:$E,MAX(2,ROW()-3)):INDEX('Seguimiento Semanal'!$E:$E,ROW())),"")</f>
        <v>0</v>
      </c>
      <c r="E13" s="79" t="str">
        <f t="array" ref="E13">IF(ROW()&lt;9,"N/A",IFERROR(IF(ABS(D13-AVERAGE(INDEX('Seguimiento Semanal'!$E:$E,ROW()-7):INDEX('Seguimiento Semanal'!$E:$E,ROW()-4)))&lt;=ABS(AVERAGE(INDEX('Seguimiento Semanal'!$E:$E,ROW()-7):INDEX('Seguimiento Semanal'!$E:$E,ROW()-4)))*1%,"➡️ Estable",IF(D13&gt;AVERAGE(INDEX('Seguimiento Semanal'!$E:$E,ROW()-7):INDEX('Seguimiento Semanal'!$E:$E,ROW()-4)),"🔼 Subiendo","🔻 Bajando")),"N/A"))</f>
        <v>➡️ Estable</v>
      </c>
      <c r="F13" s="80">
        <f t="array" ref="F13">IFERROR(AVERAGE(INDEX('Seguimiento Semanal'!$G:$G,MAX(2,ROW()-3)):INDEX('Seguimiento Semanal'!$G:$G,ROW())),"")</f>
        <v>0</v>
      </c>
      <c r="G13" s="79" t="str">
        <f t="array" ref="G13">IF(ROW()&lt;9,"N/A",IFERROR(IF(ABS(F13-AVERAGE(INDEX('Seguimiento Semanal'!$G:$G,ROW()-7):INDEX('Seguimiento Semanal'!$G:$G,ROW()-4)))&lt;=ABS(AVERAGE(INDEX('Seguimiento Semanal'!$G:$G,ROW()-7):INDEX('Seguimiento Semanal'!$G:$G,ROW()-4)))*1%,"➡️ Estable",IF(F13&gt;AVERAGE(INDEX('Seguimiento Semanal'!$G:$G,ROW()-7):INDEX('Seguimiento Semanal'!$G:$G,ROW()-4)),"🔼 Subiendo","🔻 Bajando")),"N/A"))</f>
        <v>➡️ Estable</v>
      </c>
      <c r="H13" s="80">
        <f t="array" ref="H13">IFERROR(AVERAGE(INDEX('Seguimiento Semanal'!$I:$I,MAX(2,ROW()-3)):INDEX('Seguimiento Semanal'!$I:$I,ROW())),"")</f>
        <v>0</v>
      </c>
      <c r="I13" s="79" t="str">
        <f t="array" ref="I13">IF(ROW()&lt;9,"N/A",IFERROR(IF(ABS(H13-AVERAGE(INDEX('Seguimiento Semanal'!$I:$I,ROW()-7):INDEX('Seguimiento Semanal'!$I:$I,ROW()-4)))&lt;=ABS(AVERAGE(INDEX('Seguimiento Semanal'!$I:$I,ROW()-7):INDEX('Seguimiento Semanal'!$I:$I,ROW()-4)))*1%,"➡️ Estable",IF(H13&gt;AVERAGE(INDEX('Seguimiento Semanal'!$I:$I,ROW()-7):INDEX('Seguimiento Semanal'!$I:$I,ROW()-4)),"🔼 Subiendo","🔻 Bajando")),"N/A"))</f>
        <v>➡️ Estable</v>
      </c>
      <c r="J13" s="80">
        <f t="array" ref="J13">IFERROR(AVERAGE(INDEX('Seguimiento Semanal'!$K:$K,MAX(2,ROW()-3)):INDEX('Seguimiento Semanal'!$K:$K,ROW())),"")</f>
        <v>0</v>
      </c>
      <c r="K13" s="79" t="str">
        <f t="array" ref="K13">IF(ROW()&lt;9,"N/A",IFERROR(IF(ABS(J13-AVERAGE(INDEX('Seguimiento Semanal'!$K:$K,ROW()-7):INDEX('Seguimiento Semanal'!$K:$K,ROW()-4)))&lt;=ABS(AVERAGE(INDEX('Seguimiento Semanal'!$K:$K,ROW()-7):INDEX('Seguimiento Semanal'!$K:$K,ROW()-4)))*1%,"➡️ Estable",IF(J13&gt;AVERAGE(INDEX('Seguimiento Semanal'!$K:$K,ROW()-7):INDEX('Seguimiento Semanal'!$K:$K,ROW()-4)),"🔼 Subiendo","🔻 Bajando")),"N/A"))</f>
        <v>➡️ Estable</v>
      </c>
      <c r="L13" s="80">
        <f t="array" ref="L13">IFERROR(AVERAGE(INDEX('Seguimiento Semanal'!$M:$M,MAX(2,ROW()-3)):INDEX('Seguimiento Semanal'!$M:$M,ROW())),"")</f>
        <v>0</v>
      </c>
      <c r="M13" s="79" t="str">
        <f t="array" ref="M13">IF(ROW()&lt;9,"N/A",IFERROR(IF(ABS(L13-AVERAGE(INDEX('Seguimiento Semanal'!$M:$M,ROW()-7):INDEX('Seguimiento Semanal'!$M:$M,ROW()-4)))&lt;=ABS(AVERAGE(INDEX('Seguimiento Semanal'!$M:$M,ROW()-7):INDEX('Seguimiento Semanal'!$M:$M,ROW()-4)))*1%,"➡️ Estable",IF(L13&gt;AVERAGE(INDEX('Seguimiento Semanal'!$M:$M,ROW()-7):INDEX('Seguimiento Semanal'!$M:$M,ROW()-4)),"🔼 Subiendo","🔻 Bajando")),"N/A"))</f>
        <v>➡️ Estable</v>
      </c>
      <c r="N13" s="79">
        <f t="array" ref="N13">IFERROR(AVERAGE(INDEX('Seguimiento Semanal'!$N:$N,MAX(2,ROW()-3)):INDEX('Seguimiento Semanal'!$N:$N,ROW())),"")</f>
        <v>0</v>
      </c>
      <c r="O13" s="79" t="str">
        <f t="array" ref="O13">IF(ROW()&lt;9,"N/A",IFERROR(IF(ABS(N13-AVERAGE(INDEX('Seguimiento Semanal'!$N:$N,ROW()-7):INDEX('Seguimiento Semanal'!$N:$N,ROW()-4)))&lt;=ABS(AVERAGE(INDEX('Seguimiento Semanal'!$N:$N,ROW()-7):INDEX('Seguimiento Semanal'!$N:$N,ROW()-4)))*1%,"➡️ Estable",IF(N13&gt;AVERAGE(INDEX('Seguimiento Semanal'!$N:$N,ROW()-7):INDEX('Seguimiento Semanal'!$N:$N,ROW()-4)),"🔼 Subiendo","🔻 Bajando")),"N/A"))</f>
        <v>➡️ Estable</v>
      </c>
    </row>
    <row r="14">
      <c r="A14" s="79" t="str">
        <f>'Seguimiento Semanal'!A14</f>
        <v>Sem 13</v>
      </c>
      <c r="B14" s="79">
        <f t="array" ref="B14">IFERROR(AVERAGE(INDEX('Seguimiento Semanal'!$C:$C,MAX(2,ROW()-3)):INDEX('Seguimiento Semanal'!$C:$C,ROW())),"")</f>
        <v>0</v>
      </c>
      <c r="C14" s="79" t="str">
        <f t="array" ref="C14">IF(ROW()&lt;9,"N/A",IFERROR(IF(ABS(B14-AVERAGE(INDEX('Seguimiento Semanal'!$C:$C,ROW()-7):INDEX('Seguimiento Semanal'!$C:$C,ROW()-4)))&lt;=ABS(AVERAGE(INDEX('Seguimiento Semanal'!$C:$C,ROW()-7):INDEX('Seguimiento Semanal'!$C:$C,ROW()-4)))*1%,"➡️ Estable",IF(B14&gt;AVERAGE(INDEX('Seguimiento Semanal'!$C:$C,ROW()-7):INDEX('Seguimiento Semanal'!$C:$C,ROW()-4)),"🔼 Subiendo","🔻 Bajando")),"N/A"))</f>
        <v>➡️ Estable</v>
      </c>
      <c r="D14" s="80">
        <f t="array" ref="D14">IFERROR(AVERAGE(INDEX('Seguimiento Semanal'!$E:$E,MAX(2,ROW()-3)):INDEX('Seguimiento Semanal'!$E:$E,ROW())),"")</f>
        <v>0</v>
      </c>
      <c r="E14" s="79" t="str">
        <f t="array" ref="E14">IF(ROW()&lt;9,"N/A",IFERROR(IF(ABS(D14-AVERAGE(INDEX('Seguimiento Semanal'!$E:$E,ROW()-7):INDEX('Seguimiento Semanal'!$E:$E,ROW()-4)))&lt;=ABS(AVERAGE(INDEX('Seguimiento Semanal'!$E:$E,ROW()-7):INDEX('Seguimiento Semanal'!$E:$E,ROW()-4)))*1%,"➡️ Estable",IF(D14&gt;AVERAGE(INDEX('Seguimiento Semanal'!$E:$E,ROW()-7):INDEX('Seguimiento Semanal'!$E:$E,ROW()-4)),"🔼 Subiendo","🔻 Bajando")),"N/A"))</f>
        <v>➡️ Estable</v>
      </c>
      <c r="F14" s="80">
        <f t="array" ref="F14">IFERROR(AVERAGE(INDEX('Seguimiento Semanal'!$G:$G,MAX(2,ROW()-3)):INDEX('Seguimiento Semanal'!$G:$G,ROW())),"")</f>
        <v>0</v>
      </c>
      <c r="G14" s="79" t="str">
        <f t="array" ref="G14">IF(ROW()&lt;9,"N/A",IFERROR(IF(ABS(F14-AVERAGE(INDEX('Seguimiento Semanal'!$G:$G,ROW()-7):INDEX('Seguimiento Semanal'!$G:$G,ROW()-4)))&lt;=ABS(AVERAGE(INDEX('Seguimiento Semanal'!$G:$G,ROW()-7):INDEX('Seguimiento Semanal'!$G:$G,ROW()-4)))*1%,"➡️ Estable",IF(F14&gt;AVERAGE(INDEX('Seguimiento Semanal'!$G:$G,ROW()-7):INDEX('Seguimiento Semanal'!$G:$G,ROW()-4)),"🔼 Subiendo","🔻 Bajando")),"N/A"))</f>
        <v>➡️ Estable</v>
      </c>
      <c r="H14" s="80">
        <f t="array" ref="H14">IFERROR(AVERAGE(INDEX('Seguimiento Semanal'!$I:$I,MAX(2,ROW()-3)):INDEX('Seguimiento Semanal'!$I:$I,ROW())),"")</f>
        <v>0</v>
      </c>
      <c r="I14" s="79" t="str">
        <f t="array" ref="I14">IF(ROW()&lt;9,"N/A",IFERROR(IF(ABS(H14-AVERAGE(INDEX('Seguimiento Semanal'!$I:$I,ROW()-7):INDEX('Seguimiento Semanal'!$I:$I,ROW()-4)))&lt;=ABS(AVERAGE(INDEX('Seguimiento Semanal'!$I:$I,ROW()-7):INDEX('Seguimiento Semanal'!$I:$I,ROW()-4)))*1%,"➡️ Estable",IF(H14&gt;AVERAGE(INDEX('Seguimiento Semanal'!$I:$I,ROW()-7):INDEX('Seguimiento Semanal'!$I:$I,ROW()-4)),"🔼 Subiendo","🔻 Bajando")),"N/A"))</f>
        <v>➡️ Estable</v>
      </c>
      <c r="J14" s="80">
        <f t="array" ref="J14">IFERROR(AVERAGE(INDEX('Seguimiento Semanal'!$K:$K,MAX(2,ROW()-3)):INDEX('Seguimiento Semanal'!$K:$K,ROW())),"")</f>
        <v>0</v>
      </c>
      <c r="K14" s="79" t="str">
        <f t="array" ref="K14">IF(ROW()&lt;9,"N/A",IFERROR(IF(ABS(J14-AVERAGE(INDEX('Seguimiento Semanal'!$K:$K,ROW()-7):INDEX('Seguimiento Semanal'!$K:$K,ROW()-4)))&lt;=ABS(AVERAGE(INDEX('Seguimiento Semanal'!$K:$K,ROW()-7):INDEX('Seguimiento Semanal'!$K:$K,ROW()-4)))*1%,"➡️ Estable",IF(J14&gt;AVERAGE(INDEX('Seguimiento Semanal'!$K:$K,ROW()-7):INDEX('Seguimiento Semanal'!$K:$K,ROW()-4)),"🔼 Subiendo","🔻 Bajando")),"N/A"))</f>
        <v>➡️ Estable</v>
      </c>
      <c r="L14" s="80">
        <f t="array" ref="L14">IFERROR(AVERAGE(INDEX('Seguimiento Semanal'!$M:$M,MAX(2,ROW()-3)):INDEX('Seguimiento Semanal'!$M:$M,ROW())),"")</f>
        <v>0</v>
      </c>
      <c r="M14" s="79" t="str">
        <f t="array" ref="M14">IF(ROW()&lt;9,"N/A",IFERROR(IF(ABS(L14-AVERAGE(INDEX('Seguimiento Semanal'!$M:$M,ROW()-7):INDEX('Seguimiento Semanal'!$M:$M,ROW()-4)))&lt;=ABS(AVERAGE(INDEX('Seguimiento Semanal'!$M:$M,ROW()-7):INDEX('Seguimiento Semanal'!$M:$M,ROW()-4)))*1%,"➡️ Estable",IF(L14&gt;AVERAGE(INDEX('Seguimiento Semanal'!$M:$M,ROW()-7):INDEX('Seguimiento Semanal'!$M:$M,ROW()-4)),"🔼 Subiendo","🔻 Bajando")),"N/A"))</f>
        <v>➡️ Estable</v>
      </c>
      <c r="N14" s="79">
        <f t="array" ref="N14">IFERROR(AVERAGE(INDEX('Seguimiento Semanal'!$N:$N,MAX(2,ROW()-3)):INDEX('Seguimiento Semanal'!$N:$N,ROW())),"")</f>
        <v>0</v>
      </c>
      <c r="O14" s="79" t="str">
        <f t="array" ref="O14">IF(ROW()&lt;9,"N/A",IFERROR(IF(ABS(N14-AVERAGE(INDEX('Seguimiento Semanal'!$N:$N,ROW()-7):INDEX('Seguimiento Semanal'!$N:$N,ROW()-4)))&lt;=ABS(AVERAGE(INDEX('Seguimiento Semanal'!$N:$N,ROW()-7):INDEX('Seguimiento Semanal'!$N:$N,ROW()-4)))*1%,"➡️ Estable",IF(N14&gt;AVERAGE(INDEX('Seguimiento Semanal'!$N:$N,ROW()-7):INDEX('Seguimiento Semanal'!$N:$N,ROW()-4)),"🔼 Subiendo","🔻 Bajando")),"N/A"))</f>
        <v>➡️ Estable</v>
      </c>
    </row>
    <row r="15">
      <c r="A15" s="79" t="str">
        <f>'Seguimiento Semanal'!A15</f>
        <v>Sem 14</v>
      </c>
      <c r="B15" s="79">
        <f t="array" ref="B15">IFERROR(AVERAGE(INDEX('Seguimiento Semanal'!$C:$C,MAX(2,ROW()-3)):INDEX('Seguimiento Semanal'!$C:$C,ROW())),"")</f>
        <v>0</v>
      </c>
      <c r="C15" s="79" t="str">
        <f t="array" ref="C15">IF(ROW()&lt;9,"N/A",IFERROR(IF(ABS(B15-AVERAGE(INDEX('Seguimiento Semanal'!$C:$C,ROW()-7):INDEX('Seguimiento Semanal'!$C:$C,ROW()-4)))&lt;=ABS(AVERAGE(INDEX('Seguimiento Semanal'!$C:$C,ROW()-7):INDEX('Seguimiento Semanal'!$C:$C,ROW()-4)))*1%,"➡️ Estable",IF(B15&gt;AVERAGE(INDEX('Seguimiento Semanal'!$C:$C,ROW()-7):INDEX('Seguimiento Semanal'!$C:$C,ROW()-4)),"🔼 Subiendo","🔻 Bajando")),"N/A"))</f>
        <v>➡️ Estable</v>
      </c>
      <c r="D15" s="80">
        <f t="array" ref="D15">IFERROR(AVERAGE(INDEX('Seguimiento Semanal'!$E:$E,MAX(2,ROW()-3)):INDEX('Seguimiento Semanal'!$E:$E,ROW())),"")</f>
        <v>0</v>
      </c>
      <c r="E15" s="79" t="str">
        <f t="array" ref="E15">IF(ROW()&lt;9,"N/A",IFERROR(IF(ABS(D15-AVERAGE(INDEX('Seguimiento Semanal'!$E:$E,ROW()-7):INDEX('Seguimiento Semanal'!$E:$E,ROW()-4)))&lt;=ABS(AVERAGE(INDEX('Seguimiento Semanal'!$E:$E,ROW()-7):INDEX('Seguimiento Semanal'!$E:$E,ROW()-4)))*1%,"➡️ Estable",IF(D15&gt;AVERAGE(INDEX('Seguimiento Semanal'!$E:$E,ROW()-7):INDEX('Seguimiento Semanal'!$E:$E,ROW()-4)),"🔼 Subiendo","🔻 Bajando")),"N/A"))</f>
        <v>➡️ Estable</v>
      </c>
      <c r="F15" s="80">
        <f t="array" ref="F15">IFERROR(AVERAGE(INDEX('Seguimiento Semanal'!$G:$G,MAX(2,ROW()-3)):INDEX('Seguimiento Semanal'!$G:$G,ROW())),"")</f>
        <v>0</v>
      </c>
      <c r="G15" s="79" t="str">
        <f t="array" ref="G15">IF(ROW()&lt;9,"N/A",IFERROR(IF(ABS(F15-AVERAGE(INDEX('Seguimiento Semanal'!$G:$G,ROW()-7):INDEX('Seguimiento Semanal'!$G:$G,ROW()-4)))&lt;=ABS(AVERAGE(INDEX('Seguimiento Semanal'!$G:$G,ROW()-7):INDEX('Seguimiento Semanal'!$G:$G,ROW()-4)))*1%,"➡️ Estable",IF(F15&gt;AVERAGE(INDEX('Seguimiento Semanal'!$G:$G,ROW()-7):INDEX('Seguimiento Semanal'!$G:$G,ROW()-4)),"🔼 Subiendo","🔻 Bajando")),"N/A"))</f>
        <v>➡️ Estable</v>
      </c>
      <c r="H15" s="80">
        <f t="array" ref="H15">IFERROR(AVERAGE(INDEX('Seguimiento Semanal'!$I:$I,MAX(2,ROW()-3)):INDEX('Seguimiento Semanal'!$I:$I,ROW())),"")</f>
        <v>0</v>
      </c>
      <c r="I15" s="79" t="str">
        <f t="array" ref="I15">IF(ROW()&lt;9,"N/A",IFERROR(IF(ABS(H15-AVERAGE(INDEX('Seguimiento Semanal'!$I:$I,ROW()-7):INDEX('Seguimiento Semanal'!$I:$I,ROW()-4)))&lt;=ABS(AVERAGE(INDEX('Seguimiento Semanal'!$I:$I,ROW()-7):INDEX('Seguimiento Semanal'!$I:$I,ROW()-4)))*1%,"➡️ Estable",IF(H15&gt;AVERAGE(INDEX('Seguimiento Semanal'!$I:$I,ROW()-7):INDEX('Seguimiento Semanal'!$I:$I,ROW()-4)),"🔼 Subiendo","🔻 Bajando")),"N/A"))</f>
        <v>➡️ Estable</v>
      </c>
      <c r="J15" s="80">
        <f t="array" ref="J15">IFERROR(AVERAGE(INDEX('Seguimiento Semanal'!$K:$K,MAX(2,ROW()-3)):INDEX('Seguimiento Semanal'!$K:$K,ROW())),"")</f>
        <v>0</v>
      </c>
      <c r="K15" s="79" t="str">
        <f t="array" ref="K15">IF(ROW()&lt;9,"N/A",IFERROR(IF(ABS(J15-AVERAGE(INDEX('Seguimiento Semanal'!$K:$K,ROW()-7):INDEX('Seguimiento Semanal'!$K:$K,ROW()-4)))&lt;=ABS(AVERAGE(INDEX('Seguimiento Semanal'!$K:$K,ROW()-7):INDEX('Seguimiento Semanal'!$K:$K,ROW()-4)))*1%,"➡️ Estable",IF(J15&gt;AVERAGE(INDEX('Seguimiento Semanal'!$K:$K,ROW()-7):INDEX('Seguimiento Semanal'!$K:$K,ROW()-4)),"🔼 Subiendo","🔻 Bajando")),"N/A"))</f>
        <v>➡️ Estable</v>
      </c>
      <c r="L15" s="80">
        <f t="array" ref="L15">IFERROR(AVERAGE(INDEX('Seguimiento Semanal'!$M:$M,MAX(2,ROW()-3)):INDEX('Seguimiento Semanal'!$M:$M,ROW())),"")</f>
        <v>0</v>
      </c>
      <c r="M15" s="79" t="str">
        <f t="array" ref="M15">IF(ROW()&lt;9,"N/A",IFERROR(IF(ABS(L15-AVERAGE(INDEX('Seguimiento Semanal'!$M:$M,ROW()-7):INDEX('Seguimiento Semanal'!$M:$M,ROW()-4)))&lt;=ABS(AVERAGE(INDEX('Seguimiento Semanal'!$M:$M,ROW()-7):INDEX('Seguimiento Semanal'!$M:$M,ROW()-4)))*1%,"➡️ Estable",IF(L15&gt;AVERAGE(INDEX('Seguimiento Semanal'!$M:$M,ROW()-7):INDEX('Seguimiento Semanal'!$M:$M,ROW()-4)),"🔼 Subiendo","🔻 Bajando")),"N/A"))</f>
        <v>➡️ Estable</v>
      </c>
      <c r="N15" s="79">
        <f t="array" ref="N15">IFERROR(AVERAGE(INDEX('Seguimiento Semanal'!$N:$N,MAX(2,ROW()-3)):INDEX('Seguimiento Semanal'!$N:$N,ROW())),"")</f>
        <v>0</v>
      </c>
      <c r="O15" s="79" t="str">
        <f t="array" ref="O15">IF(ROW()&lt;9,"N/A",IFERROR(IF(ABS(N15-AVERAGE(INDEX('Seguimiento Semanal'!$N:$N,ROW()-7):INDEX('Seguimiento Semanal'!$N:$N,ROW()-4)))&lt;=ABS(AVERAGE(INDEX('Seguimiento Semanal'!$N:$N,ROW()-7):INDEX('Seguimiento Semanal'!$N:$N,ROW()-4)))*1%,"➡️ Estable",IF(N15&gt;AVERAGE(INDEX('Seguimiento Semanal'!$N:$N,ROW()-7):INDEX('Seguimiento Semanal'!$N:$N,ROW()-4)),"🔼 Subiendo","🔻 Bajando")),"N/A"))</f>
        <v>➡️ Estable</v>
      </c>
    </row>
    <row r="16">
      <c r="A16" s="79" t="str">
        <f>'Seguimiento Semanal'!A16</f>
        <v>Sem 15</v>
      </c>
      <c r="B16" s="79">
        <f t="array" ref="B16">IFERROR(AVERAGE(INDEX('Seguimiento Semanal'!$C:$C,MAX(2,ROW()-3)):INDEX('Seguimiento Semanal'!$C:$C,ROW())),"")</f>
        <v>0</v>
      </c>
      <c r="C16" s="79" t="str">
        <f t="array" ref="C16">IF(ROW()&lt;9,"N/A",IFERROR(IF(ABS(B16-AVERAGE(INDEX('Seguimiento Semanal'!$C:$C,ROW()-7):INDEX('Seguimiento Semanal'!$C:$C,ROW()-4)))&lt;=ABS(AVERAGE(INDEX('Seguimiento Semanal'!$C:$C,ROW()-7):INDEX('Seguimiento Semanal'!$C:$C,ROW()-4)))*1%,"➡️ Estable",IF(B16&gt;AVERAGE(INDEX('Seguimiento Semanal'!$C:$C,ROW()-7):INDEX('Seguimiento Semanal'!$C:$C,ROW()-4)),"🔼 Subiendo","🔻 Bajando")),"N/A"))</f>
        <v>➡️ Estable</v>
      </c>
      <c r="D16" s="80">
        <f t="array" ref="D16">IFERROR(AVERAGE(INDEX('Seguimiento Semanal'!$E:$E,MAX(2,ROW()-3)):INDEX('Seguimiento Semanal'!$E:$E,ROW())),"")</f>
        <v>0</v>
      </c>
      <c r="E16" s="79" t="str">
        <f t="array" ref="E16">IF(ROW()&lt;9,"N/A",IFERROR(IF(ABS(D16-AVERAGE(INDEX('Seguimiento Semanal'!$E:$E,ROW()-7):INDEX('Seguimiento Semanal'!$E:$E,ROW()-4)))&lt;=ABS(AVERAGE(INDEX('Seguimiento Semanal'!$E:$E,ROW()-7):INDEX('Seguimiento Semanal'!$E:$E,ROW()-4)))*1%,"➡️ Estable",IF(D16&gt;AVERAGE(INDEX('Seguimiento Semanal'!$E:$E,ROW()-7):INDEX('Seguimiento Semanal'!$E:$E,ROW()-4)),"🔼 Subiendo","🔻 Bajando")),"N/A"))</f>
        <v>➡️ Estable</v>
      </c>
      <c r="F16" s="80">
        <f t="array" ref="F16">IFERROR(AVERAGE(INDEX('Seguimiento Semanal'!$G:$G,MAX(2,ROW()-3)):INDEX('Seguimiento Semanal'!$G:$G,ROW())),"")</f>
        <v>0</v>
      </c>
      <c r="G16" s="79" t="str">
        <f t="array" ref="G16">IF(ROW()&lt;9,"N/A",IFERROR(IF(ABS(F16-AVERAGE(INDEX('Seguimiento Semanal'!$G:$G,ROW()-7):INDEX('Seguimiento Semanal'!$G:$G,ROW()-4)))&lt;=ABS(AVERAGE(INDEX('Seguimiento Semanal'!$G:$G,ROW()-7):INDEX('Seguimiento Semanal'!$G:$G,ROW()-4)))*1%,"➡️ Estable",IF(F16&gt;AVERAGE(INDEX('Seguimiento Semanal'!$G:$G,ROW()-7):INDEX('Seguimiento Semanal'!$G:$G,ROW()-4)),"🔼 Subiendo","🔻 Bajando")),"N/A"))</f>
        <v>➡️ Estable</v>
      </c>
      <c r="H16" s="80">
        <f t="array" ref="H16">IFERROR(AVERAGE(INDEX('Seguimiento Semanal'!$I:$I,MAX(2,ROW()-3)):INDEX('Seguimiento Semanal'!$I:$I,ROW())),"")</f>
        <v>0</v>
      </c>
      <c r="I16" s="79" t="str">
        <f t="array" ref="I16">IF(ROW()&lt;9,"N/A",IFERROR(IF(ABS(H16-AVERAGE(INDEX('Seguimiento Semanal'!$I:$I,ROW()-7):INDEX('Seguimiento Semanal'!$I:$I,ROW()-4)))&lt;=ABS(AVERAGE(INDEX('Seguimiento Semanal'!$I:$I,ROW()-7):INDEX('Seguimiento Semanal'!$I:$I,ROW()-4)))*1%,"➡️ Estable",IF(H16&gt;AVERAGE(INDEX('Seguimiento Semanal'!$I:$I,ROW()-7):INDEX('Seguimiento Semanal'!$I:$I,ROW()-4)),"🔼 Subiendo","🔻 Bajando")),"N/A"))</f>
        <v>➡️ Estable</v>
      </c>
      <c r="J16" s="80">
        <f t="array" ref="J16">IFERROR(AVERAGE(INDEX('Seguimiento Semanal'!$K:$K,MAX(2,ROW()-3)):INDEX('Seguimiento Semanal'!$K:$K,ROW())),"")</f>
        <v>0</v>
      </c>
      <c r="K16" s="79" t="str">
        <f t="array" ref="K16">IF(ROW()&lt;9,"N/A",IFERROR(IF(ABS(J16-AVERAGE(INDEX('Seguimiento Semanal'!$K:$K,ROW()-7):INDEX('Seguimiento Semanal'!$K:$K,ROW()-4)))&lt;=ABS(AVERAGE(INDEX('Seguimiento Semanal'!$K:$K,ROW()-7):INDEX('Seguimiento Semanal'!$K:$K,ROW()-4)))*1%,"➡️ Estable",IF(J16&gt;AVERAGE(INDEX('Seguimiento Semanal'!$K:$K,ROW()-7):INDEX('Seguimiento Semanal'!$K:$K,ROW()-4)),"🔼 Subiendo","🔻 Bajando")),"N/A"))</f>
        <v>➡️ Estable</v>
      </c>
      <c r="L16" s="80">
        <f t="array" ref="L16">IFERROR(AVERAGE(INDEX('Seguimiento Semanal'!$M:$M,MAX(2,ROW()-3)):INDEX('Seguimiento Semanal'!$M:$M,ROW())),"")</f>
        <v>0</v>
      </c>
      <c r="M16" s="79" t="str">
        <f t="array" ref="M16">IF(ROW()&lt;9,"N/A",IFERROR(IF(ABS(L16-AVERAGE(INDEX('Seguimiento Semanal'!$M:$M,ROW()-7):INDEX('Seguimiento Semanal'!$M:$M,ROW()-4)))&lt;=ABS(AVERAGE(INDEX('Seguimiento Semanal'!$M:$M,ROW()-7):INDEX('Seguimiento Semanal'!$M:$M,ROW()-4)))*1%,"➡️ Estable",IF(L16&gt;AVERAGE(INDEX('Seguimiento Semanal'!$M:$M,ROW()-7):INDEX('Seguimiento Semanal'!$M:$M,ROW()-4)),"🔼 Subiendo","🔻 Bajando")),"N/A"))</f>
        <v>➡️ Estable</v>
      </c>
      <c r="N16" s="79">
        <f t="array" ref="N16">IFERROR(AVERAGE(INDEX('Seguimiento Semanal'!$N:$N,MAX(2,ROW()-3)):INDEX('Seguimiento Semanal'!$N:$N,ROW())),"")</f>
        <v>0</v>
      </c>
      <c r="O16" s="79" t="str">
        <f t="array" ref="O16">IF(ROW()&lt;9,"N/A",IFERROR(IF(ABS(N16-AVERAGE(INDEX('Seguimiento Semanal'!$N:$N,ROW()-7):INDEX('Seguimiento Semanal'!$N:$N,ROW()-4)))&lt;=ABS(AVERAGE(INDEX('Seguimiento Semanal'!$N:$N,ROW()-7):INDEX('Seguimiento Semanal'!$N:$N,ROW()-4)))*1%,"➡️ Estable",IF(N16&gt;AVERAGE(INDEX('Seguimiento Semanal'!$N:$N,ROW()-7):INDEX('Seguimiento Semanal'!$N:$N,ROW()-4)),"🔼 Subiendo","🔻 Bajando")),"N/A"))</f>
        <v>➡️ Estable</v>
      </c>
    </row>
    <row r="17">
      <c r="A17" s="79" t="str">
        <f>'Seguimiento Semanal'!A17</f>
        <v>Sem 16</v>
      </c>
      <c r="B17" s="79">
        <f t="array" ref="B17">IFERROR(AVERAGE(INDEX('Seguimiento Semanal'!$C:$C,MAX(2,ROW()-3)):INDEX('Seguimiento Semanal'!$C:$C,ROW())),"")</f>
        <v>0</v>
      </c>
      <c r="C17" s="79" t="str">
        <f t="array" ref="C17">IF(ROW()&lt;9,"N/A",IFERROR(IF(ABS(B17-AVERAGE(INDEX('Seguimiento Semanal'!$C:$C,ROW()-7):INDEX('Seguimiento Semanal'!$C:$C,ROW()-4)))&lt;=ABS(AVERAGE(INDEX('Seguimiento Semanal'!$C:$C,ROW()-7):INDEX('Seguimiento Semanal'!$C:$C,ROW()-4)))*1%,"➡️ Estable",IF(B17&gt;AVERAGE(INDEX('Seguimiento Semanal'!$C:$C,ROW()-7):INDEX('Seguimiento Semanal'!$C:$C,ROW()-4)),"🔼 Subiendo","🔻 Bajando")),"N/A"))</f>
        <v>➡️ Estable</v>
      </c>
      <c r="D17" s="80">
        <f t="array" ref="D17">IFERROR(AVERAGE(INDEX('Seguimiento Semanal'!$E:$E,MAX(2,ROW()-3)):INDEX('Seguimiento Semanal'!$E:$E,ROW())),"")</f>
        <v>0</v>
      </c>
      <c r="E17" s="79" t="str">
        <f t="array" ref="E17">IF(ROW()&lt;9,"N/A",IFERROR(IF(ABS(D17-AVERAGE(INDEX('Seguimiento Semanal'!$E:$E,ROW()-7):INDEX('Seguimiento Semanal'!$E:$E,ROW()-4)))&lt;=ABS(AVERAGE(INDEX('Seguimiento Semanal'!$E:$E,ROW()-7):INDEX('Seguimiento Semanal'!$E:$E,ROW()-4)))*1%,"➡️ Estable",IF(D17&gt;AVERAGE(INDEX('Seguimiento Semanal'!$E:$E,ROW()-7):INDEX('Seguimiento Semanal'!$E:$E,ROW()-4)),"🔼 Subiendo","🔻 Bajando")),"N/A"))</f>
        <v>➡️ Estable</v>
      </c>
      <c r="F17" s="80">
        <f t="array" ref="F17">IFERROR(AVERAGE(INDEX('Seguimiento Semanal'!$G:$G,MAX(2,ROW()-3)):INDEX('Seguimiento Semanal'!$G:$G,ROW())),"")</f>
        <v>0</v>
      </c>
      <c r="G17" s="79" t="str">
        <f t="array" ref="G17">IF(ROW()&lt;9,"N/A",IFERROR(IF(ABS(F17-AVERAGE(INDEX('Seguimiento Semanal'!$G:$G,ROW()-7):INDEX('Seguimiento Semanal'!$G:$G,ROW()-4)))&lt;=ABS(AVERAGE(INDEX('Seguimiento Semanal'!$G:$G,ROW()-7):INDEX('Seguimiento Semanal'!$G:$G,ROW()-4)))*1%,"➡️ Estable",IF(F17&gt;AVERAGE(INDEX('Seguimiento Semanal'!$G:$G,ROW()-7):INDEX('Seguimiento Semanal'!$G:$G,ROW()-4)),"🔼 Subiendo","🔻 Bajando")),"N/A"))</f>
        <v>➡️ Estable</v>
      </c>
      <c r="H17" s="80">
        <f t="array" ref="H17">IFERROR(AVERAGE(INDEX('Seguimiento Semanal'!$I:$I,MAX(2,ROW()-3)):INDEX('Seguimiento Semanal'!$I:$I,ROW())),"")</f>
        <v>0</v>
      </c>
      <c r="I17" s="79" t="str">
        <f t="array" ref="I17">IF(ROW()&lt;9,"N/A",IFERROR(IF(ABS(H17-AVERAGE(INDEX('Seguimiento Semanal'!$I:$I,ROW()-7):INDEX('Seguimiento Semanal'!$I:$I,ROW()-4)))&lt;=ABS(AVERAGE(INDEX('Seguimiento Semanal'!$I:$I,ROW()-7):INDEX('Seguimiento Semanal'!$I:$I,ROW()-4)))*1%,"➡️ Estable",IF(H17&gt;AVERAGE(INDEX('Seguimiento Semanal'!$I:$I,ROW()-7):INDEX('Seguimiento Semanal'!$I:$I,ROW()-4)),"🔼 Subiendo","🔻 Bajando")),"N/A"))</f>
        <v>➡️ Estable</v>
      </c>
      <c r="J17" s="80">
        <f t="array" ref="J17">IFERROR(AVERAGE(INDEX('Seguimiento Semanal'!$K:$K,MAX(2,ROW()-3)):INDEX('Seguimiento Semanal'!$K:$K,ROW())),"")</f>
        <v>0</v>
      </c>
      <c r="K17" s="79" t="str">
        <f t="array" ref="K17">IF(ROW()&lt;9,"N/A",IFERROR(IF(ABS(J17-AVERAGE(INDEX('Seguimiento Semanal'!$K:$K,ROW()-7):INDEX('Seguimiento Semanal'!$K:$K,ROW()-4)))&lt;=ABS(AVERAGE(INDEX('Seguimiento Semanal'!$K:$K,ROW()-7):INDEX('Seguimiento Semanal'!$K:$K,ROW()-4)))*1%,"➡️ Estable",IF(J17&gt;AVERAGE(INDEX('Seguimiento Semanal'!$K:$K,ROW()-7):INDEX('Seguimiento Semanal'!$K:$K,ROW()-4)),"🔼 Subiendo","🔻 Bajando")),"N/A"))</f>
        <v>➡️ Estable</v>
      </c>
      <c r="L17" s="80">
        <f t="array" ref="L17">IFERROR(AVERAGE(INDEX('Seguimiento Semanal'!$M:$M,MAX(2,ROW()-3)):INDEX('Seguimiento Semanal'!$M:$M,ROW())),"")</f>
        <v>0</v>
      </c>
      <c r="M17" s="79" t="str">
        <f t="array" ref="M17">IF(ROW()&lt;9,"N/A",IFERROR(IF(ABS(L17-AVERAGE(INDEX('Seguimiento Semanal'!$M:$M,ROW()-7):INDEX('Seguimiento Semanal'!$M:$M,ROW()-4)))&lt;=ABS(AVERAGE(INDEX('Seguimiento Semanal'!$M:$M,ROW()-7):INDEX('Seguimiento Semanal'!$M:$M,ROW()-4)))*1%,"➡️ Estable",IF(L17&gt;AVERAGE(INDEX('Seguimiento Semanal'!$M:$M,ROW()-7):INDEX('Seguimiento Semanal'!$M:$M,ROW()-4)),"🔼 Subiendo","🔻 Bajando")),"N/A"))</f>
        <v>➡️ Estable</v>
      </c>
      <c r="N17" s="79">
        <f t="array" ref="N17">IFERROR(AVERAGE(INDEX('Seguimiento Semanal'!$N:$N,MAX(2,ROW()-3)):INDEX('Seguimiento Semanal'!$N:$N,ROW())),"")</f>
        <v>0</v>
      </c>
      <c r="O17" s="79" t="str">
        <f t="array" ref="O17">IF(ROW()&lt;9,"N/A",IFERROR(IF(ABS(N17-AVERAGE(INDEX('Seguimiento Semanal'!$N:$N,ROW()-7):INDEX('Seguimiento Semanal'!$N:$N,ROW()-4)))&lt;=ABS(AVERAGE(INDEX('Seguimiento Semanal'!$N:$N,ROW()-7):INDEX('Seguimiento Semanal'!$N:$N,ROW()-4)))*1%,"➡️ Estable",IF(N17&gt;AVERAGE(INDEX('Seguimiento Semanal'!$N:$N,ROW()-7):INDEX('Seguimiento Semanal'!$N:$N,ROW()-4)),"🔼 Subiendo","🔻 Bajando")),"N/A"))</f>
        <v>➡️ Estable</v>
      </c>
    </row>
    <row r="18">
      <c r="A18" s="79" t="str">
        <f>'Seguimiento Semanal'!A18</f>
        <v>Sem 17</v>
      </c>
      <c r="B18" s="79">
        <f t="array" ref="B18">IFERROR(AVERAGE(INDEX('Seguimiento Semanal'!$C:$C,MAX(2,ROW()-3)):INDEX('Seguimiento Semanal'!$C:$C,ROW())),"")</f>
        <v>0</v>
      </c>
      <c r="C18" s="79" t="str">
        <f t="array" ref="C18">IF(ROW()&lt;9,"N/A",IFERROR(IF(ABS(B18-AVERAGE(INDEX('Seguimiento Semanal'!$C:$C,ROW()-7):INDEX('Seguimiento Semanal'!$C:$C,ROW()-4)))&lt;=ABS(AVERAGE(INDEX('Seguimiento Semanal'!$C:$C,ROW()-7):INDEX('Seguimiento Semanal'!$C:$C,ROW()-4)))*1%,"➡️ Estable",IF(B18&gt;AVERAGE(INDEX('Seguimiento Semanal'!$C:$C,ROW()-7):INDEX('Seguimiento Semanal'!$C:$C,ROW()-4)),"🔼 Subiendo","🔻 Bajando")),"N/A"))</f>
        <v>➡️ Estable</v>
      </c>
      <c r="D18" s="80">
        <f t="array" ref="D18">IFERROR(AVERAGE(INDEX('Seguimiento Semanal'!$E:$E,MAX(2,ROW()-3)):INDEX('Seguimiento Semanal'!$E:$E,ROW())),"")</f>
        <v>0</v>
      </c>
      <c r="E18" s="79" t="str">
        <f t="array" ref="E18">IF(ROW()&lt;9,"N/A",IFERROR(IF(ABS(D18-AVERAGE(INDEX('Seguimiento Semanal'!$E:$E,ROW()-7):INDEX('Seguimiento Semanal'!$E:$E,ROW()-4)))&lt;=ABS(AVERAGE(INDEX('Seguimiento Semanal'!$E:$E,ROW()-7):INDEX('Seguimiento Semanal'!$E:$E,ROW()-4)))*1%,"➡️ Estable",IF(D18&gt;AVERAGE(INDEX('Seguimiento Semanal'!$E:$E,ROW()-7):INDEX('Seguimiento Semanal'!$E:$E,ROW()-4)),"🔼 Subiendo","🔻 Bajando")),"N/A"))</f>
        <v>➡️ Estable</v>
      </c>
      <c r="F18" s="80">
        <f t="array" ref="F18">IFERROR(AVERAGE(INDEX('Seguimiento Semanal'!$G:$G,MAX(2,ROW()-3)):INDEX('Seguimiento Semanal'!$G:$G,ROW())),"")</f>
        <v>0</v>
      </c>
      <c r="G18" s="79" t="str">
        <f t="array" ref="G18">IF(ROW()&lt;9,"N/A",IFERROR(IF(ABS(F18-AVERAGE(INDEX('Seguimiento Semanal'!$G:$G,ROW()-7):INDEX('Seguimiento Semanal'!$G:$G,ROW()-4)))&lt;=ABS(AVERAGE(INDEX('Seguimiento Semanal'!$G:$G,ROW()-7):INDEX('Seguimiento Semanal'!$G:$G,ROW()-4)))*1%,"➡️ Estable",IF(F18&gt;AVERAGE(INDEX('Seguimiento Semanal'!$G:$G,ROW()-7):INDEX('Seguimiento Semanal'!$G:$G,ROW()-4)),"🔼 Subiendo","🔻 Bajando")),"N/A"))</f>
        <v>➡️ Estable</v>
      </c>
      <c r="H18" s="80">
        <f t="array" ref="H18">IFERROR(AVERAGE(INDEX('Seguimiento Semanal'!$I:$I,MAX(2,ROW()-3)):INDEX('Seguimiento Semanal'!$I:$I,ROW())),"")</f>
        <v>0</v>
      </c>
      <c r="I18" s="79" t="str">
        <f t="array" ref="I18">IF(ROW()&lt;9,"N/A",IFERROR(IF(ABS(H18-AVERAGE(INDEX('Seguimiento Semanal'!$I:$I,ROW()-7):INDEX('Seguimiento Semanal'!$I:$I,ROW()-4)))&lt;=ABS(AVERAGE(INDEX('Seguimiento Semanal'!$I:$I,ROW()-7):INDEX('Seguimiento Semanal'!$I:$I,ROW()-4)))*1%,"➡️ Estable",IF(H18&gt;AVERAGE(INDEX('Seguimiento Semanal'!$I:$I,ROW()-7):INDEX('Seguimiento Semanal'!$I:$I,ROW()-4)),"🔼 Subiendo","🔻 Bajando")),"N/A"))</f>
        <v>➡️ Estable</v>
      </c>
      <c r="J18" s="80">
        <f t="array" ref="J18">IFERROR(AVERAGE(INDEX('Seguimiento Semanal'!$K:$K,MAX(2,ROW()-3)):INDEX('Seguimiento Semanal'!$K:$K,ROW())),"")</f>
        <v>0</v>
      </c>
      <c r="K18" s="79" t="str">
        <f t="array" ref="K18">IF(ROW()&lt;9,"N/A",IFERROR(IF(ABS(J18-AVERAGE(INDEX('Seguimiento Semanal'!$K:$K,ROW()-7):INDEX('Seguimiento Semanal'!$K:$K,ROW()-4)))&lt;=ABS(AVERAGE(INDEX('Seguimiento Semanal'!$K:$K,ROW()-7):INDEX('Seguimiento Semanal'!$K:$K,ROW()-4)))*1%,"➡️ Estable",IF(J18&gt;AVERAGE(INDEX('Seguimiento Semanal'!$K:$K,ROW()-7):INDEX('Seguimiento Semanal'!$K:$K,ROW()-4)),"🔼 Subiendo","🔻 Bajando")),"N/A"))</f>
        <v>➡️ Estable</v>
      </c>
      <c r="L18" s="80">
        <f t="array" ref="L18">IFERROR(AVERAGE(INDEX('Seguimiento Semanal'!$M:$M,MAX(2,ROW()-3)):INDEX('Seguimiento Semanal'!$M:$M,ROW())),"")</f>
        <v>0</v>
      </c>
      <c r="M18" s="79" t="str">
        <f t="array" ref="M18">IF(ROW()&lt;9,"N/A",IFERROR(IF(ABS(L18-AVERAGE(INDEX('Seguimiento Semanal'!$M:$M,ROW()-7):INDEX('Seguimiento Semanal'!$M:$M,ROW()-4)))&lt;=ABS(AVERAGE(INDEX('Seguimiento Semanal'!$M:$M,ROW()-7):INDEX('Seguimiento Semanal'!$M:$M,ROW()-4)))*1%,"➡️ Estable",IF(L18&gt;AVERAGE(INDEX('Seguimiento Semanal'!$M:$M,ROW()-7):INDEX('Seguimiento Semanal'!$M:$M,ROW()-4)),"🔼 Subiendo","🔻 Bajando")),"N/A"))</f>
        <v>➡️ Estable</v>
      </c>
      <c r="N18" s="79">
        <f t="array" ref="N18">IFERROR(AVERAGE(INDEX('Seguimiento Semanal'!$N:$N,MAX(2,ROW()-3)):INDEX('Seguimiento Semanal'!$N:$N,ROW())),"")</f>
        <v>0</v>
      </c>
      <c r="O18" s="79" t="str">
        <f t="array" ref="O18">IF(ROW()&lt;9,"N/A",IFERROR(IF(ABS(N18-AVERAGE(INDEX('Seguimiento Semanal'!$N:$N,ROW()-7):INDEX('Seguimiento Semanal'!$N:$N,ROW()-4)))&lt;=ABS(AVERAGE(INDEX('Seguimiento Semanal'!$N:$N,ROW()-7):INDEX('Seguimiento Semanal'!$N:$N,ROW()-4)))*1%,"➡️ Estable",IF(N18&gt;AVERAGE(INDEX('Seguimiento Semanal'!$N:$N,ROW()-7):INDEX('Seguimiento Semanal'!$N:$N,ROW()-4)),"🔼 Subiendo","🔻 Bajando")),"N/A"))</f>
        <v>➡️ Estable</v>
      </c>
    </row>
    <row r="19">
      <c r="A19" s="79" t="str">
        <f>'Seguimiento Semanal'!A19</f>
        <v>Sem 18</v>
      </c>
      <c r="B19" s="79">
        <f t="array" ref="B19">IFERROR(AVERAGE(INDEX('Seguimiento Semanal'!$C:$C,MAX(2,ROW()-3)):INDEX('Seguimiento Semanal'!$C:$C,ROW())),"")</f>
        <v>0</v>
      </c>
      <c r="C19" s="79" t="str">
        <f t="array" ref="C19">IF(ROW()&lt;9,"N/A",IFERROR(IF(ABS(B19-AVERAGE(INDEX('Seguimiento Semanal'!$C:$C,ROW()-7):INDEX('Seguimiento Semanal'!$C:$C,ROW()-4)))&lt;=ABS(AVERAGE(INDEX('Seguimiento Semanal'!$C:$C,ROW()-7):INDEX('Seguimiento Semanal'!$C:$C,ROW()-4)))*1%,"➡️ Estable",IF(B19&gt;AVERAGE(INDEX('Seguimiento Semanal'!$C:$C,ROW()-7):INDEX('Seguimiento Semanal'!$C:$C,ROW()-4)),"🔼 Subiendo","🔻 Bajando")),"N/A"))</f>
        <v>➡️ Estable</v>
      </c>
      <c r="D19" s="80">
        <f t="array" ref="D19">IFERROR(AVERAGE(INDEX('Seguimiento Semanal'!$E:$E,MAX(2,ROW()-3)):INDEX('Seguimiento Semanal'!$E:$E,ROW())),"")</f>
        <v>0</v>
      </c>
      <c r="E19" s="79" t="str">
        <f t="array" ref="E19">IF(ROW()&lt;9,"N/A",IFERROR(IF(ABS(D19-AVERAGE(INDEX('Seguimiento Semanal'!$E:$E,ROW()-7):INDEX('Seguimiento Semanal'!$E:$E,ROW()-4)))&lt;=ABS(AVERAGE(INDEX('Seguimiento Semanal'!$E:$E,ROW()-7):INDEX('Seguimiento Semanal'!$E:$E,ROW()-4)))*1%,"➡️ Estable",IF(D19&gt;AVERAGE(INDEX('Seguimiento Semanal'!$E:$E,ROW()-7):INDEX('Seguimiento Semanal'!$E:$E,ROW()-4)),"🔼 Subiendo","🔻 Bajando")),"N/A"))</f>
        <v>➡️ Estable</v>
      </c>
      <c r="F19" s="80">
        <f t="array" ref="F19">IFERROR(AVERAGE(INDEX('Seguimiento Semanal'!$G:$G,MAX(2,ROW()-3)):INDEX('Seguimiento Semanal'!$G:$G,ROW())),"")</f>
        <v>0</v>
      </c>
      <c r="G19" s="79" t="str">
        <f t="array" ref="G19">IF(ROW()&lt;9,"N/A",IFERROR(IF(ABS(F19-AVERAGE(INDEX('Seguimiento Semanal'!$G:$G,ROW()-7):INDEX('Seguimiento Semanal'!$G:$G,ROW()-4)))&lt;=ABS(AVERAGE(INDEX('Seguimiento Semanal'!$G:$G,ROW()-7):INDEX('Seguimiento Semanal'!$G:$G,ROW()-4)))*1%,"➡️ Estable",IF(F19&gt;AVERAGE(INDEX('Seguimiento Semanal'!$G:$G,ROW()-7):INDEX('Seguimiento Semanal'!$G:$G,ROW()-4)),"🔼 Subiendo","🔻 Bajando")),"N/A"))</f>
        <v>➡️ Estable</v>
      </c>
      <c r="H19" s="80">
        <f t="array" ref="H19">IFERROR(AVERAGE(INDEX('Seguimiento Semanal'!$I:$I,MAX(2,ROW()-3)):INDEX('Seguimiento Semanal'!$I:$I,ROW())),"")</f>
        <v>0</v>
      </c>
      <c r="I19" s="79" t="str">
        <f t="array" ref="I19">IF(ROW()&lt;9,"N/A",IFERROR(IF(ABS(H19-AVERAGE(INDEX('Seguimiento Semanal'!$I:$I,ROW()-7):INDEX('Seguimiento Semanal'!$I:$I,ROW()-4)))&lt;=ABS(AVERAGE(INDEX('Seguimiento Semanal'!$I:$I,ROW()-7):INDEX('Seguimiento Semanal'!$I:$I,ROW()-4)))*1%,"➡️ Estable",IF(H19&gt;AVERAGE(INDEX('Seguimiento Semanal'!$I:$I,ROW()-7):INDEX('Seguimiento Semanal'!$I:$I,ROW()-4)),"🔼 Subiendo","🔻 Bajando")),"N/A"))</f>
        <v>➡️ Estable</v>
      </c>
      <c r="J19" s="80">
        <f t="array" ref="J19">IFERROR(AVERAGE(INDEX('Seguimiento Semanal'!$K:$K,MAX(2,ROW()-3)):INDEX('Seguimiento Semanal'!$K:$K,ROW())),"")</f>
        <v>0</v>
      </c>
      <c r="K19" s="79" t="str">
        <f t="array" ref="K19">IF(ROW()&lt;9,"N/A",IFERROR(IF(ABS(J19-AVERAGE(INDEX('Seguimiento Semanal'!$K:$K,ROW()-7):INDEX('Seguimiento Semanal'!$K:$K,ROW()-4)))&lt;=ABS(AVERAGE(INDEX('Seguimiento Semanal'!$K:$K,ROW()-7):INDEX('Seguimiento Semanal'!$K:$K,ROW()-4)))*1%,"➡️ Estable",IF(J19&gt;AVERAGE(INDEX('Seguimiento Semanal'!$K:$K,ROW()-7):INDEX('Seguimiento Semanal'!$K:$K,ROW()-4)),"🔼 Subiendo","🔻 Bajando")),"N/A"))</f>
        <v>➡️ Estable</v>
      </c>
      <c r="L19" s="80">
        <f t="array" ref="L19">IFERROR(AVERAGE(INDEX('Seguimiento Semanal'!$M:$M,MAX(2,ROW()-3)):INDEX('Seguimiento Semanal'!$M:$M,ROW())),"")</f>
        <v>0</v>
      </c>
      <c r="M19" s="79" t="str">
        <f t="array" ref="M19">IF(ROW()&lt;9,"N/A",IFERROR(IF(ABS(L19-AVERAGE(INDEX('Seguimiento Semanal'!$M:$M,ROW()-7):INDEX('Seguimiento Semanal'!$M:$M,ROW()-4)))&lt;=ABS(AVERAGE(INDEX('Seguimiento Semanal'!$M:$M,ROW()-7):INDEX('Seguimiento Semanal'!$M:$M,ROW()-4)))*1%,"➡️ Estable",IF(L19&gt;AVERAGE(INDEX('Seguimiento Semanal'!$M:$M,ROW()-7):INDEX('Seguimiento Semanal'!$M:$M,ROW()-4)),"🔼 Subiendo","🔻 Bajando")),"N/A"))</f>
        <v>➡️ Estable</v>
      </c>
      <c r="N19" s="79">
        <f t="array" ref="N19">IFERROR(AVERAGE(INDEX('Seguimiento Semanal'!$N:$N,MAX(2,ROW()-3)):INDEX('Seguimiento Semanal'!$N:$N,ROW())),"")</f>
        <v>0</v>
      </c>
      <c r="O19" s="79" t="str">
        <f t="array" ref="O19">IF(ROW()&lt;9,"N/A",IFERROR(IF(ABS(N19-AVERAGE(INDEX('Seguimiento Semanal'!$N:$N,ROW()-7):INDEX('Seguimiento Semanal'!$N:$N,ROW()-4)))&lt;=ABS(AVERAGE(INDEX('Seguimiento Semanal'!$N:$N,ROW()-7):INDEX('Seguimiento Semanal'!$N:$N,ROW()-4)))*1%,"➡️ Estable",IF(N19&gt;AVERAGE(INDEX('Seguimiento Semanal'!$N:$N,ROW()-7):INDEX('Seguimiento Semanal'!$N:$N,ROW()-4)),"🔼 Subiendo","🔻 Bajando")),"N/A"))</f>
        <v>➡️ Estable</v>
      </c>
    </row>
    <row r="20">
      <c r="A20" s="79" t="str">
        <f>'Seguimiento Semanal'!A20</f>
        <v>Sem 19</v>
      </c>
      <c r="B20" s="79">
        <f t="array" ref="B20">IFERROR(AVERAGE(INDEX('Seguimiento Semanal'!$C:$C,MAX(2,ROW()-3)):INDEX('Seguimiento Semanal'!$C:$C,ROW())),"")</f>
        <v>0</v>
      </c>
      <c r="C20" s="79" t="str">
        <f t="array" ref="C20">IF(ROW()&lt;9,"N/A",IFERROR(IF(ABS(B20-AVERAGE(INDEX('Seguimiento Semanal'!$C:$C,ROW()-7):INDEX('Seguimiento Semanal'!$C:$C,ROW()-4)))&lt;=ABS(AVERAGE(INDEX('Seguimiento Semanal'!$C:$C,ROW()-7):INDEX('Seguimiento Semanal'!$C:$C,ROW()-4)))*1%,"➡️ Estable",IF(B20&gt;AVERAGE(INDEX('Seguimiento Semanal'!$C:$C,ROW()-7):INDEX('Seguimiento Semanal'!$C:$C,ROW()-4)),"🔼 Subiendo","🔻 Bajando")),"N/A"))</f>
        <v>➡️ Estable</v>
      </c>
      <c r="D20" s="80">
        <f t="array" ref="D20">IFERROR(AVERAGE(INDEX('Seguimiento Semanal'!$E:$E,MAX(2,ROW()-3)):INDEX('Seguimiento Semanal'!$E:$E,ROW())),"")</f>
        <v>0</v>
      </c>
      <c r="E20" s="79" t="str">
        <f t="array" ref="E20">IF(ROW()&lt;9,"N/A",IFERROR(IF(ABS(D20-AVERAGE(INDEX('Seguimiento Semanal'!$E:$E,ROW()-7):INDEX('Seguimiento Semanal'!$E:$E,ROW()-4)))&lt;=ABS(AVERAGE(INDEX('Seguimiento Semanal'!$E:$E,ROW()-7):INDEX('Seguimiento Semanal'!$E:$E,ROW()-4)))*1%,"➡️ Estable",IF(D20&gt;AVERAGE(INDEX('Seguimiento Semanal'!$E:$E,ROW()-7):INDEX('Seguimiento Semanal'!$E:$E,ROW()-4)),"🔼 Subiendo","🔻 Bajando")),"N/A"))</f>
        <v>➡️ Estable</v>
      </c>
      <c r="F20" s="80">
        <f t="array" ref="F20">IFERROR(AVERAGE(INDEX('Seguimiento Semanal'!$G:$G,MAX(2,ROW()-3)):INDEX('Seguimiento Semanal'!$G:$G,ROW())),"")</f>
        <v>0</v>
      </c>
      <c r="G20" s="79" t="str">
        <f t="array" ref="G20">IF(ROW()&lt;9,"N/A",IFERROR(IF(ABS(F20-AVERAGE(INDEX('Seguimiento Semanal'!$G:$G,ROW()-7):INDEX('Seguimiento Semanal'!$G:$G,ROW()-4)))&lt;=ABS(AVERAGE(INDEX('Seguimiento Semanal'!$G:$G,ROW()-7):INDEX('Seguimiento Semanal'!$G:$G,ROW()-4)))*1%,"➡️ Estable",IF(F20&gt;AVERAGE(INDEX('Seguimiento Semanal'!$G:$G,ROW()-7):INDEX('Seguimiento Semanal'!$G:$G,ROW()-4)),"🔼 Subiendo","🔻 Bajando")),"N/A"))</f>
        <v>➡️ Estable</v>
      </c>
      <c r="H20" s="80">
        <f t="array" ref="H20">IFERROR(AVERAGE(INDEX('Seguimiento Semanal'!$I:$I,MAX(2,ROW()-3)):INDEX('Seguimiento Semanal'!$I:$I,ROW())),"")</f>
        <v>0</v>
      </c>
      <c r="I20" s="79" t="str">
        <f t="array" ref="I20">IF(ROW()&lt;9,"N/A",IFERROR(IF(ABS(H20-AVERAGE(INDEX('Seguimiento Semanal'!$I:$I,ROW()-7):INDEX('Seguimiento Semanal'!$I:$I,ROW()-4)))&lt;=ABS(AVERAGE(INDEX('Seguimiento Semanal'!$I:$I,ROW()-7):INDEX('Seguimiento Semanal'!$I:$I,ROW()-4)))*1%,"➡️ Estable",IF(H20&gt;AVERAGE(INDEX('Seguimiento Semanal'!$I:$I,ROW()-7):INDEX('Seguimiento Semanal'!$I:$I,ROW()-4)),"🔼 Subiendo","🔻 Bajando")),"N/A"))</f>
        <v>➡️ Estable</v>
      </c>
      <c r="J20" s="80">
        <f t="array" ref="J20">IFERROR(AVERAGE(INDEX('Seguimiento Semanal'!$K:$K,MAX(2,ROW()-3)):INDEX('Seguimiento Semanal'!$K:$K,ROW())),"")</f>
        <v>0</v>
      </c>
      <c r="K20" s="79" t="str">
        <f t="array" ref="K20">IF(ROW()&lt;9,"N/A",IFERROR(IF(ABS(J20-AVERAGE(INDEX('Seguimiento Semanal'!$K:$K,ROW()-7):INDEX('Seguimiento Semanal'!$K:$K,ROW()-4)))&lt;=ABS(AVERAGE(INDEX('Seguimiento Semanal'!$K:$K,ROW()-7):INDEX('Seguimiento Semanal'!$K:$K,ROW()-4)))*1%,"➡️ Estable",IF(J20&gt;AVERAGE(INDEX('Seguimiento Semanal'!$K:$K,ROW()-7):INDEX('Seguimiento Semanal'!$K:$K,ROW()-4)),"🔼 Subiendo","🔻 Bajando")),"N/A"))</f>
        <v>➡️ Estable</v>
      </c>
      <c r="L20" s="80">
        <f t="array" ref="L20">IFERROR(AVERAGE(INDEX('Seguimiento Semanal'!$M:$M,MAX(2,ROW()-3)):INDEX('Seguimiento Semanal'!$M:$M,ROW())),"")</f>
        <v>0</v>
      </c>
      <c r="M20" s="79" t="str">
        <f t="array" ref="M20">IF(ROW()&lt;9,"N/A",IFERROR(IF(ABS(L20-AVERAGE(INDEX('Seguimiento Semanal'!$M:$M,ROW()-7):INDEX('Seguimiento Semanal'!$M:$M,ROW()-4)))&lt;=ABS(AVERAGE(INDEX('Seguimiento Semanal'!$M:$M,ROW()-7):INDEX('Seguimiento Semanal'!$M:$M,ROW()-4)))*1%,"➡️ Estable",IF(L20&gt;AVERAGE(INDEX('Seguimiento Semanal'!$M:$M,ROW()-7):INDEX('Seguimiento Semanal'!$M:$M,ROW()-4)),"🔼 Subiendo","🔻 Bajando")),"N/A"))</f>
        <v>➡️ Estable</v>
      </c>
      <c r="N20" s="79">
        <f t="array" ref="N20">IFERROR(AVERAGE(INDEX('Seguimiento Semanal'!$N:$N,MAX(2,ROW()-3)):INDEX('Seguimiento Semanal'!$N:$N,ROW())),"")</f>
        <v>0</v>
      </c>
      <c r="O20" s="79" t="str">
        <f t="array" ref="O20">IF(ROW()&lt;9,"N/A",IFERROR(IF(ABS(N20-AVERAGE(INDEX('Seguimiento Semanal'!$N:$N,ROW()-7):INDEX('Seguimiento Semanal'!$N:$N,ROW()-4)))&lt;=ABS(AVERAGE(INDEX('Seguimiento Semanal'!$N:$N,ROW()-7):INDEX('Seguimiento Semanal'!$N:$N,ROW()-4)))*1%,"➡️ Estable",IF(N20&gt;AVERAGE(INDEX('Seguimiento Semanal'!$N:$N,ROW()-7):INDEX('Seguimiento Semanal'!$N:$N,ROW()-4)),"🔼 Subiendo","🔻 Bajando")),"N/A"))</f>
        <v>➡️ Estable</v>
      </c>
    </row>
    <row r="21" ht="15.75" customHeight="1">
      <c r="A21" s="79" t="str">
        <f>'Seguimiento Semanal'!A21</f>
        <v>Sem 20</v>
      </c>
      <c r="B21" s="79">
        <f t="array" ref="B21">IFERROR(AVERAGE(INDEX('Seguimiento Semanal'!$C:$C,MAX(2,ROW()-3)):INDEX('Seguimiento Semanal'!$C:$C,ROW())),"")</f>
        <v>0</v>
      </c>
      <c r="C21" s="79" t="str">
        <f t="array" ref="C21">IF(ROW()&lt;9,"N/A",IFERROR(IF(ABS(B21-AVERAGE(INDEX('Seguimiento Semanal'!$C:$C,ROW()-7):INDEX('Seguimiento Semanal'!$C:$C,ROW()-4)))&lt;=ABS(AVERAGE(INDEX('Seguimiento Semanal'!$C:$C,ROW()-7):INDEX('Seguimiento Semanal'!$C:$C,ROW()-4)))*1%,"➡️ Estable",IF(B21&gt;AVERAGE(INDEX('Seguimiento Semanal'!$C:$C,ROW()-7):INDEX('Seguimiento Semanal'!$C:$C,ROW()-4)),"🔼 Subiendo","🔻 Bajando")),"N/A"))</f>
        <v>➡️ Estable</v>
      </c>
      <c r="D21" s="80">
        <f t="array" ref="D21">IFERROR(AVERAGE(INDEX('Seguimiento Semanal'!$E:$E,MAX(2,ROW()-3)):INDEX('Seguimiento Semanal'!$E:$E,ROW())),"")</f>
        <v>0</v>
      </c>
      <c r="E21" s="79" t="str">
        <f t="array" ref="E21">IF(ROW()&lt;9,"N/A",IFERROR(IF(ABS(D21-AVERAGE(INDEX('Seguimiento Semanal'!$E:$E,ROW()-7):INDEX('Seguimiento Semanal'!$E:$E,ROW()-4)))&lt;=ABS(AVERAGE(INDEX('Seguimiento Semanal'!$E:$E,ROW()-7):INDEX('Seguimiento Semanal'!$E:$E,ROW()-4)))*1%,"➡️ Estable",IF(D21&gt;AVERAGE(INDEX('Seguimiento Semanal'!$E:$E,ROW()-7):INDEX('Seguimiento Semanal'!$E:$E,ROW()-4)),"🔼 Subiendo","🔻 Bajando")),"N/A"))</f>
        <v>➡️ Estable</v>
      </c>
      <c r="F21" s="80">
        <f t="array" ref="F21">IFERROR(AVERAGE(INDEX('Seguimiento Semanal'!$G:$G,MAX(2,ROW()-3)):INDEX('Seguimiento Semanal'!$G:$G,ROW())),"")</f>
        <v>0</v>
      </c>
      <c r="G21" s="79" t="str">
        <f t="array" ref="G21">IF(ROW()&lt;9,"N/A",IFERROR(IF(ABS(F21-AVERAGE(INDEX('Seguimiento Semanal'!$G:$G,ROW()-7):INDEX('Seguimiento Semanal'!$G:$G,ROW()-4)))&lt;=ABS(AVERAGE(INDEX('Seguimiento Semanal'!$G:$G,ROW()-7):INDEX('Seguimiento Semanal'!$G:$G,ROW()-4)))*1%,"➡️ Estable",IF(F21&gt;AVERAGE(INDEX('Seguimiento Semanal'!$G:$G,ROW()-7):INDEX('Seguimiento Semanal'!$G:$G,ROW()-4)),"🔼 Subiendo","🔻 Bajando")),"N/A"))</f>
        <v>➡️ Estable</v>
      </c>
      <c r="H21" s="80">
        <f t="array" ref="H21">IFERROR(AVERAGE(INDEX('Seguimiento Semanal'!$I:$I,MAX(2,ROW()-3)):INDEX('Seguimiento Semanal'!$I:$I,ROW())),"")</f>
        <v>0</v>
      </c>
      <c r="I21" s="79" t="str">
        <f t="array" ref="I21">IF(ROW()&lt;9,"N/A",IFERROR(IF(ABS(H21-AVERAGE(INDEX('Seguimiento Semanal'!$I:$I,ROW()-7):INDEX('Seguimiento Semanal'!$I:$I,ROW()-4)))&lt;=ABS(AVERAGE(INDEX('Seguimiento Semanal'!$I:$I,ROW()-7):INDEX('Seguimiento Semanal'!$I:$I,ROW()-4)))*1%,"➡️ Estable",IF(H21&gt;AVERAGE(INDEX('Seguimiento Semanal'!$I:$I,ROW()-7):INDEX('Seguimiento Semanal'!$I:$I,ROW()-4)),"🔼 Subiendo","🔻 Bajando")),"N/A"))</f>
        <v>➡️ Estable</v>
      </c>
      <c r="J21" s="80">
        <f t="array" ref="J21">IFERROR(AVERAGE(INDEX('Seguimiento Semanal'!$K:$K,MAX(2,ROW()-3)):INDEX('Seguimiento Semanal'!$K:$K,ROW())),"")</f>
        <v>0</v>
      </c>
      <c r="K21" s="79" t="str">
        <f t="array" ref="K21">IF(ROW()&lt;9,"N/A",IFERROR(IF(ABS(J21-AVERAGE(INDEX('Seguimiento Semanal'!$K:$K,ROW()-7):INDEX('Seguimiento Semanal'!$K:$K,ROW()-4)))&lt;=ABS(AVERAGE(INDEX('Seguimiento Semanal'!$K:$K,ROW()-7):INDEX('Seguimiento Semanal'!$K:$K,ROW()-4)))*1%,"➡️ Estable",IF(J21&gt;AVERAGE(INDEX('Seguimiento Semanal'!$K:$K,ROW()-7):INDEX('Seguimiento Semanal'!$K:$K,ROW()-4)),"🔼 Subiendo","🔻 Bajando")),"N/A"))</f>
        <v>➡️ Estable</v>
      </c>
      <c r="L21" s="80">
        <f t="array" ref="L21">IFERROR(AVERAGE(INDEX('Seguimiento Semanal'!$M:$M,MAX(2,ROW()-3)):INDEX('Seguimiento Semanal'!$M:$M,ROW())),"")</f>
        <v>0</v>
      </c>
      <c r="M21" s="79" t="str">
        <f t="array" ref="M21">IF(ROW()&lt;9,"N/A",IFERROR(IF(ABS(L21-AVERAGE(INDEX('Seguimiento Semanal'!$M:$M,ROW()-7):INDEX('Seguimiento Semanal'!$M:$M,ROW()-4)))&lt;=ABS(AVERAGE(INDEX('Seguimiento Semanal'!$M:$M,ROW()-7):INDEX('Seguimiento Semanal'!$M:$M,ROW()-4)))*1%,"➡️ Estable",IF(L21&gt;AVERAGE(INDEX('Seguimiento Semanal'!$M:$M,ROW()-7):INDEX('Seguimiento Semanal'!$M:$M,ROW()-4)),"🔼 Subiendo","🔻 Bajando")),"N/A"))</f>
        <v>➡️ Estable</v>
      </c>
      <c r="N21" s="79">
        <f t="array" ref="N21">IFERROR(AVERAGE(INDEX('Seguimiento Semanal'!$N:$N,MAX(2,ROW()-3)):INDEX('Seguimiento Semanal'!$N:$N,ROW())),"")</f>
        <v>0</v>
      </c>
      <c r="O21" s="79" t="str">
        <f t="array" ref="O21">IF(ROW()&lt;9,"N/A",IFERROR(IF(ABS(N21-AVERAGE(INDEX('Seguimiento Semanal'!$N:$N,ROW()-7):INDEX('Seguimiento Semanal'!$N:$N,ROW()-4)))&lt;=ABS(AVERAGE(INDEX('Seguimiento Semanal'!$N:$N,ROW()-7):INDEX('Seguimiento Semanal'!$N:$N,ROW()-4)))*1%,"➡️ Estable",IF(N21&gt;AVERAGE(INDEX('Seguimiento Semanal'!$N:$N,ROW()-7):INDEX('Seguimiento Semanal'!$N:$N,ROW()-4)),"🔼 Subiendo","🔻 Bajando")),"N/A"))</f>
        <v>➡️ Estable</v>
      </c>
    </row>
    <row r="22" ht="15.75" customHeight="1">
      <c r="A22" s="79" t="str">
        <f>'Seguimiento Semanal'!A22</f>
        <v>Sem 21</v>
      </c>
      <c r="B22" s="79">
        <f t="array" ref="B22">IFERROR(AVERAGE(INDEX('Seguimiento Semanal'!$C:$C,MAX(2,ROW()-3)):INDEX('Seguimiento Semanal'!$C:$C,ROW())),"")</f>
        <v>0</v>
      </c>
      <c r="C22" s="79" t="str">
        <f t="array" ref="C22">IF(ROW()&lt;9,"N/A",IFERROR(IF(ABS(B22-AVERAGE(INDEX('Seguimiento Semanal'!$C:$C,ROW()-7):INDEX('Seguimiento Semanal'!$C:$C,ROW()-4)))&lt;=ABS(AVERAGE(INDEX('Seguimiento Semanal'!$C:$C,ROW()-7):INDEX('Seguimiento Semanal'!$C:$C,ROW()-4)))*1%,"➡️ Estable",IF(B22&gt;AVERAGE(INDEX('Seguimiento Semanal'!$C:$C,ROW()-7):INDEX('Seguimiento Semanal'!$C:$C,ROW()-4)),"🔼 Subiendo","🔻 Bajando")),"N/A"))</f>
        <v>➡️ Estable</v>
      </c>
      <c r="D22" s="80">
        <f t="array" ref="D22">IFERROR(AVERAGE(INDEX('Seguimiento Semanal'!$E:$E,MAX(2,ROW()-3)):INDEX('Seguimiento Semanal'!$E:$E,ROW())),"")</f>
        <v>0</v>
      </c>
      <c r="E22" s="79" t="str">
        <f t="array" ref="E22">IF(ROW()&lt;9,"N/A",IFERROR(IF(ABS(D22-AVERAGE(INDEX('Seguimiento Semanal'!$E:$E,ROW()-7):INDEX('Seguimiento Semanal'!$E:$E,ROW()-4)))&lt;=ABS(AVERAGE(INDEX('Seguimiento Semanal'!$E:$E,ROW()-7):INDEX('Seguimiento Semanal'!$E:$E,ROW()-4)))*1%,"➡️ Estable",IF(D22&gt;AVERAGE(INDEX('Seguimiento Semanal'!$E:$E,ROW()-7):INDEX('Seguimiento Semanal'!$E:$E,ROW()-4)),"🔼 Subiendo","🔻 Bajando")),"N/A"))</f>
        <v>➡️ Estable</v>
      </c>
      <c r="F22" s="80">
        <f t="array" ref="F22">IFERROR(AVERAGE(INDEX('Seguimiento Semanal'!$G:$G,MAX(2,ROW()-3)):INDEX('Seguimiento Semanal'!$G:$G,ROW())),"")</f>
        <v>0</v>
      </c>
      <c r="G22" s="79" t="str">
        <f t="array" ref="G22">IF(ROW()&lt;9,"N/A",IFERROR(IF(ABS(F22-AVERAGE(INDEX('Seguimiento Semanal'!$G:$G,ROW()-7):INDEX('Seguimiento Semanal'!$G:$G,ROW()-4)))&lt;=ABS(AVERAGE(INDEX('Seguimiento Semanal'!$G:$G,ROW()-7):INDEX('Seguimiento Semanal'!$G:$G,ROW()-4)))*1%,"➡️ Estable",IF(F22&gt;AVERAGE(INDEX('Seguimiento Semanal'!$G:$G,ROW()-7):INDEX('Seguimiento Semanal'!$G:$G,ROW()-4)),"🔼 Subiendo","🔻 Bajando")),"N/A"))</f>
        <v>➡️ Estable</v>
      </c>
      <c r="H22" s="80">
        <f t="array" ref="H22">IFERROR(AVERAGE(INDEX('Seguimiento Semanal'!$I:$I,MAX(2,ROW()-3)):INDEX('Seguimiento Semanal'!$I:$I,ROW())),"")</f>
        <v>0</v>
      </c>
      <c r="I22" s="79" t="str">
        <f t="array" ref="I22">IF(ROW()&lt;9,"N/A",IFERROR(IF(ABS(H22-AVERAGE(INDEX('Seguimiento Semanal'!$I:$I,ROW()-7):INDEX('Seguimiento Semanal'!$I:$I,ROW()-4)))&lt;=ABS(AVERAGE(INDEX('Seguimiento Semanal'!$I:$I,ROW()-7):INDEX('Seguimiento Semanal'!$I:$I,ROW()-4)))*1%,"➡️ Estable",IF(H22&gt;AVERAGE(INDEX('Seguimiento Semanal'!$I:$I,ROW()-7):INDEX('Seguimiento Semanal'!$I:$I,ROW()-4)),"🔼 Subiendo","🔻 Bajando")),"N/A"))</f>
        <v>➡️ Estable</v>
      </c>
      <c r="J22" s="80">
        <f t="array" ref="J22">IFERROR(AVERAGE(INDEX('Seguimiento Semanal'!$K:$K,MAX(2,ROW()-3)):INDEX('Seguimiento Semanal'!$K:$K,ROW())),"")</f>
        <v>0</v>
      </c>
      <c r="K22" s="79" t="str">
        <f t="array" ref="K22">IF(ROW()&lt;9,"N/A",IFERROR(IF(ABS(J22-AVERAGE(INDEX('Seguimiento Semanal'!$K:$K,ROW()-7):INDEX('Seguimiento Semanal'!$K:$K,ROW()-4)))&lt;=ABS(AVERAGE(INDEX('Seguimiento Semanal'!$K:$K,ROW()-7):INDEX('Seguimiento Semanal'!$K:$K,ROW()-4)))*1%,"➡️ Estable",IF(J22&gt;AVERAGE(INDEX('Seguimiento Semanal'!$K:$K,ROW()-7):INDEX('Seguimiento Semanal'!$K:$K,ROW()-4)),"🔼 Subiendo","🔻 Bajando")),"N/A"))</f>
        <v>➡️ Estable</v>
      </c>
      <c r="L22" s="80">
        <f t="array" ref="L22">IFERROR(AVERAGE(INDEX('Seguimiento Semanal'!$M:$M,MAX(2,ROW()-3)):INDEX('Seguimiento Semanal'!$M:$M,ROW())),"")</f>
        <v>0</v>
      </c>
      <c r="M22" s="79" t="str">
        <f t="array" ref="M22">IF(ROW()&lt;9,"N/A",IFERROR(IF(ABS(L22-AVERAGE(INDEX('Seguimiento Semanal'!$M:$M,ROW()-7):INDEX('Seguimiento Semanal'!$M:$M,ROW()-4)))&lt;=ABS(AVERAGE(INDEX('Seguimiento Semanal'!$M:$M,ROW()-7):INDEX('Seguimiento Semanal'!$M:$M,ROW()-4)))*1%,"➡️ Estable",IF(L22&gt;AVERAGE(INDEX('Seguimiento Semanal'!$M:$M,ROW()-7):INDEX('Seguimiento Semanal'!$M:$M,ROW()-4)),"🔼 Subiendo","🔻 Bajando")),"N/A"))</f>
        <v>➡️ Estable</v>
      </c>
      <c r="N22" s="79">
        <f t="array" ref="N22">IFERROR(AVERAGE(INDEX('Seguimiento Semanal'!$N:$N,MAX(2,ROW()-3)):INDEX('Seguimiento Semanal'!$N:$N,ROW())),"")</f>
        <v>0</v>
      </c>
      <c r="O22" s="79" t="str">
        <f t="array" ref="O22">IF(ROW()&lt;9,"N/A",IFERROR(IF(ABS(N22-AVERAGE(INDEX('Seguimiento Semanal'!$N:$N,ROW()-7):INDEX('Seguimiento Semanal'!$N:$N,ROW()-4)))&lt;=ABS(AVERAGE(INDEX('Seguimiento Semanal'!$N:$N,ROW()-7):INDEX('Seguimiento Semanal'!$N:$N,ROW()-4)))*1%,"➡️ Estable",IF(N22&gt;AVERAGE(INDEX('Seguimiento Semanal'!$N:$N,ROW()-7):INDEX('Seguimiento Semanal'!$N:$N,ROW()-4)),"🔼 Subiendo","🔻 Bajando")),"N/A"))</f>
        <v>➡️ Estable</v>
      </c>
    </row>
    <row r="23" ht="15.75" customHeight="1">
      <c r="A23" s="79" t="str">
        <f>'Seguimiento Semanal'!A23</f>
        <v>Sem 22</v>
      </c>
      <c r="B23" s="79">
        <f t="array" ref="B23">IFERROR(AVERAGE(INDEX('Seguimiento Semanal'!$C:$C,MAX(2,ROW()-3)):INDEX('Seguimiento Semanal'!$C:$C,ROW())),"")</f>
        <v>0</v>
      </c>
      <c r="C23" s="79" t="str">
        <f t="array" ref="C23">IF(ROW()&lt;9,"N/A",IFERROR(IF(ABS(B23-AVERAGE(INDEX('Seguimiento Semanal'!$C:$C,ROW()-7):INDEX('Seguimiento Semanal'!$C:$C,ROW()-4)))&lt;=ABS(AVERAGE(INDEX('Seguimiento Semanal'!$C:$C,ROW()-7):INDEX('Seguimiento Semanal'!$C:$C,ROW()-4)))*1%,"➡️ Estable",IF(B23&gt;AVERAGE(INDEX('Seguimiento Semanal'!$C:$C,ROW()-7):INDEX('Seguimiento Semanal'!$C:$C,ROW()-4)),"🔼 Subiendo","🔻 Bajando")),"N/A"))</f>
        <v>➡️ Estable</v>
      </c>
      <c r="D23" s="80">
        <f t="array" ref="D23">IFERROR(AVERAGE(INDEX('Seguimiento Semanal'!$E:$E,MAX(2,ROW()-3)):INDEX('Seguimiento Semanal'!$E:$E,ROW())),"")</f>
        <v>0</v>
      </c>
      <c r="E23" s="79" t="str">
        <f t="array" ref="E23">IF(ROW()&lt;9,"N/A",IFERROR(IF(ABS(D23-AVERAGE(INDEX('Seguimiento Semanal'!$E:$E,ROW()-7):INDEX('Seguimiento Semanal'!$E:$E,ROW()-4)))&lt;=ABS(AVERAGE(INDEX('Seguimiento Semanal'!$E:$E,ROW()-7):INDEX('Seguimiento Semanal'!$E:$E,ROW()-4)))*1%,"➡️ Estable",IF(D23&gt;AVERAGE(INDEX('Seguimiento Semanal'!$E:$E,ROW()-7):INDEX('Seguimiento Semanal'!$E:$E,ROW()-4)),"🔼 Subiendo","🔻 Bajando")),"N/A"))</f>
        <v>➡️ Estable</v>
      </c>
      <c r="F23" s="80">
        <f t="array" ref="F23">IFERROR(AVERAGE(INDEX('Seguimiento Semanal'!$G:$G,MAX(2,ROW()-3)):INDEX('Seguimiento Semanal'!$G:$G,ROW())),"")</f>
        <v>0</v>
      </c>
      <c r="G23" s="79" t="str">
        <f t="array" ref="G23">IF(ROW()&lt;9,"N/A",IFERROR(IF(ABS(F23-AVERAGE(INDEX('Seguimiento Semanal'!$G:$G,ROW()-7):INDEX('Seguimiento Semanal'!$G:$G,ROW()-4)))&lt;=ABS(AVERAGE(INDEX('Seguimiento Semanal'!$G:$G,ROW()-7):INDEX('Seguimiento Semanal'!$G:$G,ROW()-4)))*1%,"➡️ Estable",IF(F23&gt;AVERAGE(INDEX('Seguimiento Semanal'!$G:$G,ROW()-7):INDEX('Seguimiento Semanal'!$G:$G,ROW()-4)),"🔼 Subiendo","🔻 Bajando")),"N/A"))</f>
        <v>➡️ Estable</v>
      </c>
      <c r="H23" s="80">
        <f t="array" ref="H23">IFERROR(AVERAGE(INDEX('Seguimiento Semanal'!$I:$I,MAX(2,ROW()-3)):INDEX('Seguimiento Semanal'!$I:$I,ROW())),"")</f>
        <v>0</v>
      </c>
      <c r="I23" s="79" t="str">
        <f t="array" ref="I23">IF(ROW()&lt;9,"N/A",IFERROR(IF(ABS(H23-AVERAGE(INDEX('Seguimiento Semanal'!$I:$I,ROW()-7):INDEX('Seguimiento Semanal'!$I:$I,ROW()-4)))&lt;=ABS(AVERAGE(INDEX('Seguimiento Semanal'!$I:$I,ROW()-7):INDEX('Seguimiento Semanal'!$I:$I,ROW()-4)))*1%,"➡️ Estable",IF(H23&gt;AVERAGE(INDEX('Seguimiento Semanal'!$I:$I,ROW()-7):INDEX('Seguimiento Semanal'!$I:$I,ROW()-4)),"🔼 Subiendo","🔻 Bajando")),"N/A"))</f>
        <v>➡️ Estable</v>
      </c>
      <c r="J23" s="80">
        <f t="array" ref="J23">IFERROR(AVERAGE(INDEX('Seguimiento Semanal'!$K:$K,MAX(2,ROW()-3)):INDEX('Seguimiento Semanal'!$K:$K,ROW())),"")</f>
        <v>0</v>
      </c>
      <c r="K23" s="79" t="str">
        <f t="array" ref="K23">IF(ROW()&lt;9,"N/A",IFERROR(IF(ABS(J23-AVERAGE(INDEX('Seguimiento Semanal'!$K:$K,ROW()-7):INDEX('Seguimiento Semanal'!$K:$K,ROW()-4)))&lt;=ABS(AVERAGE(INDEX('Seguimiento Semanal'!$K:$K,ROW()-7):INDEX('Seguimiento Semanal'!$K:$K,ROW()-4)))*1%,"➡️ Estable",IF(J23&gt;AVERAGE(INDEX('Seguimiento Semanal'!$K:$K,ROW()-7):INDEX('Seguimiento Semanal'!$K:$K,ROW()-4)),"🔼 Subiendo","🔻 Bajando")),"N/A"))</f>
        <v>➡️ Estable</v>
      </c>
      <c r="L23" s="80">
        <f t="array" ref="L23">IFERROR(AVERAGE(INDEX('Seguimiento Semanal'!$M:$M,MAX(2,ROW()-3)):INDEX('Seguimiento Semanal'!$M:$M,ROW())),"")</f>
        <v>0</v>
      </c>
      <c r="M23" s="79" t="str">
        <f t="array" ref="M23">IF(ROW()&lt;9,"N/A",IFERROR(IF(ABS(L23-AVERAGE(INDEX('Seguimiento Semanal'!$M:$M,ROW()-7):INDEX('Seguimiento Semanal'!$M:$M,ROW()-4)))&lt;=ABS(AVERAGE(INDEX('Seguimiento Semanal'!$M:$M,ROW()-7):INDEX('Seguimiento Semanal'!$M:$M,ROW()-4)))*1%,"➡️ Estable",IF(L23&gt;AVERAGE(INDEX('Seguimiento Semanal'!$M:$M,ROW()-7):INDEX('Seguimiento Semanal'!$M:$M,ROW()-4)),"🔼 Subiendo","🔻 Bajando")),"N/A"))</f>
        <v>➡️ Estable</v>
      </c>
      <c r="N23" s="79">
        <f t="array" ref="N23">IFERROR(AVERAGE(INDEX('Seguimiento Semanal'!$N:$N,MAX(2,ROW()-3)):INDEX('Seguimiento Semanal'!$N:$N,ROW())),"")</f>
        <v>0</v>
      </c>
      <c r="O23" s="79" t="str">
        <f t="array" ref="O23">IF(ROW()&lt;9,"N/A",IFERROR(IF(ABS(N23-AVERAGE(INDEX('Seguimiento Semanal'!$N:$N,ROW()-7):INDEX('Seguimiento Semanal'!$N:$N,ROW()-4)))&lt;=ABS(AVERAGE(INDEX('Seguimiento Semanal'!$N:$N,ROW()-7):INDEX('Seguimiento Semanal'!$N:$N,ROW()-4)))*1%,"➡️ Estable",IF(N23&gt;AVERAGE(INDEX('Seguimiento Semanal'!$N:$N,ROW()-7):INDEX('Seguimiento Semanal'!$N:$N,ROW()-4)),"🔼 Subiendo","🔻 Bajando")),"N/A"))</f>
        <v>➡️ Estable</v>
      </c>
    </row>
    <row r="24" ht="15.75" customHeight="1">
      <c r="A24" s="79" t="str">
        <f>'Seguimiento Semanal'!A24</f>
        <v>Sem 23</v>
      </c>
      <c r="B24" s="79">
        <f t="array" ref="B24">IFERROR(AVERAGE(INDEX('Seguimiento Semanal'!$C:$C,MAX(2,ROW()-3)):INDEX('Seguimiento Semanal'!$C:$C,ROW())),"")</f>
        <v>0</v>
      </c>
      <c r="C24" s="79" t="str">
        <f t="array" ref="C24">IF(ROW()&lt;9,"N/A",IFERROR(IF(ABS(B24-AVERAGE(INDEX('Seguimiento Semanal'!$C:$C,ROW()-7):INDEX('Seguimiento Semanal'!$C:$C,ROW()-4)))&lt;=ABS(AVERAGE(INDEX('Seguimiento Semanal'!$C:$C,ROW()-7):INDEX('Seguimiento Semanal'!$C:$C,ROW()-4)))*1%,"➡️ Estable",IF(B24&gt;AVERAGE(INDEX('Seguimiento Semanal'!$C:$C,ROW()-7):INDEX('Seguimiento Semanal'!$C:$C,ROW()-4)),"🔼 Subiendo","🔻 Bajando")),"N/A"))</f>
        <v>➡️ Estable</v>
      </c>
      <c r="D24" s="80">
        <f t="array" ref="D24">IFERROR(AVERAGE(INDEX('Seguimiento Semanal'!$E:$E,MAX(2,ROW()-3)):INDEX('Seguimiento Semanal'!$E:$E,ROW())),"")</f>
        <v>0</v>
      </c>
      <c r="E24" s="79" t="str">
        <f t="array" ref="E24">IF(ROW()&lt;9,"N/A",IFERROR(IF(ABS(D24-AVERAGE(INDEX('Seguimiento Semanal'!$E:$E,ROW()-7):INDEX('Seguimiento Semanal'!$E:$E,ROW()-4)))&lt;=ABS(AVERAGE(INDEX('Seguimiento Semanal'!$E:$E,ROW()-7):INDEX('Seguimiento Semanal'!$E:$E,ROW()-4)))*1%,"➡️ Estable",IF(D24&gt;AVERAGE(INDEX('Seguimiento Semanal'!$E:$E,ROW()-7):INDEX('Seguimiento Semanal'!$E:$E,ROW()-4)),"🔼 Subiendo","🔻 Bajando")),"N/A"))</f>
        <v>➡️ Estable</v>
      </c>
      <c r="F24" s="80">
        <f t="array" ref="F24">IFERROR(AVERAGE(INDEX('Seguimiento Semanal'!$G:$G,MAX(2,ROW()-3)):INDEX('Seguimiento Semanal'!$G:$G,ROW())),"")</f>
        <v>0</v>
      </c>
      <c r="G24" s="79" t="str">
        <f t="array" ref="G24">IF(ROW()&lt;9,"N/A",IFERROR(IF(ABS(F24-AVERAGE(INDEX('Seguimiento Semanal'!$G:$G,ROW()-7):INDEX('Seguimiento Semanal'!$G:$G,ROW()-4)))&lt;=ABS(AVERAGE(INDEX('Seguimiento Semanal'!$G:$G,ROW()-7):INDEX('Seguimiento Semanal'!$G:$G,ROW()-4)))*1%,"➡️ Estable",IF(F24&gt;AVERAGE(INDEX('Seguimiento Semanal'!$G:$G,ROW()-7):INDEX('Seguimiento Semanal'!$G:$G,ROW()-4)),"🔼 Subiendo","🔻 Bajando")),"N/A"))</f>
        <v>➡️ Estable</v>
      </c>
      <c r="H24" s="80">
        <f t="array" ref="H24">IFERROR(AVERAGE(INDEX('Seguimiento Semanal'!$I:$I,MAX(2,ROW()-3)):INDEX('Seguimiento Semanal'!$I:$I,ROW())),"")</f>
        <v>0</v>
      </c>
      <c r="I24" s="79" t="str">
        <f t="array" ref="I24">IF(ROW()&lt;9,"N/A",IFERROR(IF(ABS(H24-AVERAGE(INDEX('Seguimiento Semanal'!$I:$I,ROW()-7):INDEX('Seguimiento Semanal'!$I:$I,ROW()-4)))&lt;=ABS(AVERAGE(INDEX('Seguimiento Semanal'!$I:$I,ROW()-7):INDEX('Seguimiento Semanal'!$I:$I,ROW()-4)))*1%,"➡️ Estable",IF(H24&gt;AVERAGE(INDEX('Seguimiento Semanal'!$I:$I,ROW()-7):INDEX('Seguimiento Semanal'!$I:$I,ROW()-4)),"🔼 Subiendo","🔻 Bajando")),"N/A"))</f>
        <v>➡️ Estable</v>
      </c>
      <c r="J24" s="80">
        <f t="array" ref="J24">IFERROR(AVERAGE(INDEX('Seguimiento Semanal'!$K:$K,MAX(2,ROW()-3)):INDEX('Seguimiento Semanal'!$K:$K,ROW())),"")</f>
        <v>0</v>
      </c>
      <c r="K24" s="79" t="str">
        <f t="array" ref="K24">IF(ROW()&lt;9,"N/A",IFERROR(IF(ABS(J24-AVERAGE(INDEX('Seguimiento Semanal'!$K:$K,ROW()-7):INDEX('Seguimiento Semanal'!$K:$K,ROW()-4)))&lt;=ABS(AVERAGE(INDEX('Seguimiento Semanal'!$K:$K,ROW()-7):INDEX('Seguimiento Semanal'!$K:$K,ROW()-4)))*1%,"➡️ Estable",IF(J24&gt;AVERAGE(INDEX('Seguimiento Semanal'!$K:$K,ROW()-7):INDEX('Seguimiento Semanal'!$K:$K,ROW()-4)),"🔼 Subiendo","🔻 Bajando")),"N/A"))</f>
        <v>➡️ Estable</v>
      </c>
      <c r="L24" s="80">
        <f t="array" ref="L24">IFERROR(AVERAGE(INDEX('Seguimiento Semanal'!$M:$M,MAX(2,ROW()-3)):INDEX('Seguimiento Semanal'!$M:$M,ROW())),"")</f>
        <v>0</v>
      </c>
      <c r="M24" s="79" t="str">
        <f t="array" ref="M24">IF(ROW()&lt;9,"N/A",IFERROR(IF(ABS(L24-AVERAGE(INDEX('Seguimiento Semanal'!$M:$M,ROW()-7):INDEX('Seguimiento Semanal'!$M:$M,ROW()-4)))&lt;=ABS(AVERAGE(INDEX('Seguimiento Semanal'!$M:$M,ROW()-7):INDEX('Seguimiento Semanal'!$M:$M,ROW()-4)))*1%,"➡️ Estable",IF(L24&gt;AVERAGE(INDEX('Seguimiento Semanal'!$M:$M,ROW()-7):INDEX('Seguimiento Semanal'!$M:$M,ROW()-4)),"🔼 Subiendo","🔻 Bajando")),"N/A"))</f>
        <v>➡️ Estable</v>
      </c>
      <c r="N24" s="79">
        <f t="array" ref="N24">IFERROR(AVERAGE(INDEX('Seguimiento Semanal'!$N:$N,MAX(2,ROW()-3)):INDEX('Seguimiento Semanal'!$N:$N,ROW())),"")</f>
        <v>0</v>
      </c>
      <c r="O24" s="79" t="str">
        <f t="array" ref="O24">IF(ROW()&lt;9,"N/A",IFERROR(IF(ABS(N24-AVERAGE(INDEX('Seguimiento Semanal'!$N:$N,ROW()-7):INDEX('Seguimiento Semanal'!$N:$N,ROW()-4)))&lt;=ABS(AVERAGE(INDEX('Seguimiento Semanal'!$N:$N,ROW()-7):INDEX('Seguimiento Semanal'!$N:$N,ROW()-4)))*1%,"➡️ Estable",IF(N24&gt;AVERAGE(INDEX('Seguimiento Semanal'!$N:$N,ROW()-7):INDEX('Seguimiento Semanal'!$N:$N,ROW()-4)),"🔼 Subiendo","🔻 Bajando")),"N/A"))</f>
        <v>➡️ Estable</v>
      </c>
    </row>
    <row r="25" ht="15.75" customHeight="1">
      <c r="A25" s="79" t="str">
        <f>'Seguimiento Semanal'!A25</f>
        <v>Sem 24</v>
      </c>
      <c r="B25" s="79">
        <f t="array" ref="B25">IFERROR(AVERAGE(INDEX('Seguimiento Semanal'!$C:$C,MAX(2,ROW()-3)):INDEX('Seguimiento Semanal'!$C:$C,ROW())),"")</f>
        <v>0</v>
      </c>
      <c r="C25" s="79" t="str">
        <f t="array" ref="C25">IF(ROW()&lt;9,"N/A",IFERROR(IF(ABS(B25-AVERAGE(INDEX('Seguimiento Semanal'!$C:$C,ROW()-7):INDEX('Seguimiento Semanal'!$C:$C,ROW()-4)))&lt;=ABS(AVERAGE(INDEX('Seguimiento Semanal'!$C:$C,ROW()-7):INDEX('Seguimiento Semanal'!$C:$C,ROW()-4)))*1%,"➡️ Estable",IF(B25&gt;AVERAGE(INDEX('Seguimiento Semanal'!$C:$C,ROW()-7):INDEX('Seguimiento Semanal'!$C:$C,ROW()-4)),"🔼 Subiendo","🔻 Bajando")),"N/A"))</f>
        <v>➡️ Estable</v>
      </c>
      <c r="D25" s="80">
        <f t="array" ref="D25">IFERROR(AVERAGE(INDEX('Seguimiento Semanal'!$E:$E,MAX(2,ROW()-3)):INDEX('Seguimiento Semanal'!$E:$E,ROW())),"")</f>
        <v>0</v>
      </c>
      <c r="E25" s="79" t="str">
        <f t="array" ref="E25">IF(ROW()&lt;9,"N/A",IFERROR(IF(ABS(D25-AVERAGE(INDEX('Seguimiento Semanal'!$E:$E,ROW()-7):INDEX('Seguimiento Semanal'!$E:$E,ROW()-4)))&lt;=ABS(AVERAGE(INDEX('Seguimiento Semanal'!$E:$E,ROW()-7):INDEX('Seguimiento Semanal'!$E:$E,ROW()-4)))*1%,"➡️ Estable",IF(D25&gt;AVERAGE(INDEX('Seguimiento Semanal'!$E:$E,ROW()-7):INDEX('Seguimiento Semanal'!$E:$E,ROW()-4)),"🔼 Subiendo","🔻 Bajando")),"N/A"))</f>
        <v>➡️ Estable</v>
      </c>
      <c r="F25" s="80">
        <f t="array" ref="F25">IFERROR(AVERAGE(INDEX('Seguimiento Semanal'!$G:$G,MAX(2,ROW()-3)):INDEX('Seguimiento Semanal'!$G:$G,ROW())),"")</f>
        <v>0</v>
      </c>
      <c r="G25" s="79" t="str">
        <f t="array" ref="G25">IF(ROW()&lt;9,"N/A",IFERROR(IF(ABS(F25-AVERAGE(INDEX('Seguimiento Semanal'!$G:$G,ROW()-7):INDEX('Seguimiento Semanal'!$G:$G,ROW()-4)))&lt;=ABS(AVERAGE(INDEX('Seguimiento Semanal'!$G:$G,ROW()-7):INDEX('Seguimiento Semanal'!$G:$G,ROW()-4)))*1%,"➡️ Estable",IF(F25&gt;AVERAGE(INDEX('Seguimiento Semanal'!$G:$G,ROW()-7):INDEX('Seguimiento Semanal'!$G:$G,ROW()-4)),"🔼 Subiendo","🔻 Bajando")),"N/A"))</f>
        <v>➡️ Estable</v>
      </c>
      <c r="H25" s="80">
        <f t="array" ref="H25">IFERROR(AVERAGE(INDEX('Seguimiento Semanal'!$I:$I,MAX(2,ROW()-3)):INDEX('Seguimiento Semanal'!$I:$I,ROW())),"")</f>
        <v>0</v>
      </c>
      <c r="I25" s="79" t="str">
        <f t="array" ref="I25">IF(ROW()&lt;9,"N/A",IFERROR(IF(ABS(H25-AVERAGE(INDEX('Seguimiento Semanal'!$I:$I,ROW()-7):INDEX('Seguimiento Semanal'!$I:$I,ROW()-4)))&lt;=ABS(AVERAGE(INDEX('Seguimiento Semanal'!$I:$I,ROW()-7):INDEX('Seguimiento Semanal'!$I:$I,ROW()-4)))*1%,"➡️ Estable",IF(H25&gt;AVERAGE(INDEX('Seguimiento Semanal'!$I:$I,ROW()-7):INDEX('Seguimiento Semanal'!$I:$I,ROW()-4)),"🔼 Subiendo","🔻 Bajando")),"N/A"))</f>
        <v>➡️ Estable</v>
      </c>
      <c r="J25" s="80">
        <f t="array" ref="J25">IFERROR(AVERAGE(INDEX('Seguimiento Semanal'!$K:$K,MAX(2,ROW()-3)):INDEX('Seguimiento Semanal'!$K:$K,ROW())),"")</f>
        <v>0</v>
      </c>
      <c r="K25" s="79" t="str">
        <f t="array" ref="K25">IF(ROW()&lt;9,"N/A",IFERROR(IF(ABS(J25-AVERAGE(INDEX('Seguimiento Semanal'!$K:$K,ROW()-7):INDEX('Seguimiento Semanal'!$K:$K,ROW()-4)))&lt;=ABS(AVERAGE(INDEX('Seguimiento Semanal'!$K:$K,ROW()-7):INDEX('Seguimiento Semanal'!$K:$K,ROW()-4)))*1%,"➡️ Estable",IF(J25&gt;AVERAGE(INDEX('Seguimiento Semanal'!$K:$K,ROW()-7):INDEX('Seguimiento Semanal'!$K:$K,ROW()-4)),"🔼 Subiendo","🔻 Bajando")),"N/A"))</f>
        <v>➡️ Estable</v>
      </c>
      <c r="L25" s="80">
        <f t="array" ref="L25">IFERROR(AVERAGE(INDEX('Seguimiento Semanal'!$M:$M,MAX(2,ROW()-3)):INDEX('Seguimiento Semanal'!$M:$M,ROW())),"")</f>
        <v>0</v>
      </c>
      <c r="M25" s="79" t="str">
        <f t="array" ref="M25">IF(ROW()&lt;9,"N/A",IFERROR(IF(ABS(L25-AVERAGE(INDEX('Seguimiento Semanal'!$M:$M,ROW()-7):INDEX('Seguimiento Semanal'!$M:$M,ROW()-4)))&lt;=ABS(AVERAGE(INDEX('Seguimiento Semanal'!$M:$M,ROW()-7):INDEX('Seguimiento Semanal'!$M:$M,ROW()-4)))*1%,"➡️ Estable",IF(L25&gt;AVERAGE(INDEX('Seguimiento Semanal'!$M:$M,ROW()-7):INDEX('Seguimiento Semanal'!$M:$M,ROW()-4)),"🔼 Subiendo","🔻 Bajando")),"N/A"))</f>
        <v>➡️ Estable</v>
      </c>
      <c r="N25" s="79">
        <f t="array" ref="N25">IFERROR(AVERAGE(INDEX('Seguimiento Semanal'!$N:$N,MAX(2,ROW()-3)):INDEX('Seguimiento Semanal'!$N:$N,ROW())),"")</f>
        <v>0</v>
      </c>
      <c r="O25" s="79" t="str">
        <f t="array" ref="O25">IF(ROW()&lt;9,"N/A",IFERROR(IF(ABS(N25-AVERAGE(INDEX('Seguimiento Semanal'!$N:$N,ROW()-7):INDEX('Seguimiento Semanal'!$N:$N,ROW()-4)))&lt;=ABS(AVERAGE(INDEX('Seguimiento Semanal'!$N:$N,ROW()-7):INDEX('Seguimiento Semanal'!$N:$N,ROW()-4)))*1%,"➡️ Estable",IF(N25&gt;AVERAGE(INDEX('Seguimiento Semanal'!$N:$N,ROW()-7):INDEX('Seguimiento Semanal'!$N:$N,ROW()-4)),"🔼 Subiendo","🔻 Bajando")),"N/A"))</f>
        <v>➡️ Estable</v>
      </c>
    </row>
    <row r="26" ht="15.75" customHeight="1">
      <c r="A26" s="79" t="str">
        <f>'Seguimiento Semanal'!A26</f>
        <v>Sem 25</v>
      </c>
      <c r="B26" s="79">
        <f t="array" ref="B26">IFERROR(AVERAGE(INDEX('Seguimiento Semanal'!$C:$C,MAX(2,ROW()-3)):INDEX('Seguimiento Semanal'!$C:$C,ROW())),"")</f>
        <v>0</v>
      </c>
      <c r="C26" s="79" t="str">
        <f t="array" ref="C26">IF(ROW()&lt;9,"N/A",IFERROR(IF(ABS(B26-AVERAGE(INDEX('Seguimiento Semanal'!$C:$C,ROW()-7):INDEX('Seguimiento Semanal'!$C:$C,ROW()-4)))&lt;=ABS(AVERAGE(INDEX('Seguimiento Semanal'!$C:$C,ROW()-7):INDEX('Seguimiento Semanal'!$C:$C,ROW()-4)))*1%,"➡️ Estable",IF(B26&gt;AVERAGE(INDEX('Seguimiento Semanal'!$C:$C,ROW()-7):INDEX('Seguimiento Semanal'!$C:$C,ROW()-4)),"🔼 Subiendo","🔻 Bajando")),"N/A"))</f>
        <v>➡️ Estable</v>
      </c>
      <c r="D26" s="80">
        <f t="array" ref="D26">IFERROR(AVERAGE(INDEX('Seguimiento Semanal'!$E:$E,MAX(2,ROW()-3)):INDEX('Seguimiento Semanal'!$E:$E,ROW())),"")</f>
        <v>0</v>
      </c>
      <c r="E26" s="79" t="str">
        <f t="array" ref="E26">IF(ROW()&lt;9,"N/A",IFERROR(IF(ABS(D26-AVERAGE(INDEX('Seguimiento Semanal'!$E:$E,ROW()-7):INDEX('Seguimiento Semanal'!$E:$E,ROW()-4)))&lt;=ABS(AVERAGE(INDEX('Seguimiento Semanal'!$E:$E,ROW()-7):INDEX('Seguimiento Semanal'!$E:$E,ROW()-4)))*1%,"➡️ Estable",IF(D26&gt;AVERAGE(INDEX('Seguimiento Semanal'!$E:$E,ROW()-7):INDEX('Seguimiento Semanal'!$E:$E,ROW()-4)),"🔼 Subiendo","🔻 Bajando")),"N/A"))</f>
        <v>➡️ Estable</v>
      </c>
      <c r="F26" s="80">
        <f t="array" ref="F26">IFERROR(AVERAGE(INDEX('Seguimiento Semanal'!$G:$G,MAX(2,ROW()-3)):INDEX('Seguimiento Semanal'!$G:$G,ROW())),"")</f>
        <v>0</v>
      </c>
      <c r="G26" s="79" t="str">
        <f t="array" ref="G26">IF(ROW()&lt;9,"N/A",IFERROR(IF(ABS(F26-AVERAGE(INDEX('Seguimiento Semanal'!$G:$G,ROW()-7):INDEX('Seguimiento Semanal'!$G:$G,ROW()-4)))&lt;=ABS(AVERAGE(INDEX('Seguimiento Semanal'!$G:$G,ROW()-7):INDEX('Seguimiento Semanal'!$G:$G,ROW()-4)))*1%,"➡️ Estable",IF(F26&gt;AVERAGE(INDEX('Seguimiento Semanal'!$G:$G,ROW()-7):INDEX('Seguimiento Semanal'!$G:$G,ROW()-4)),"🔼 Subiendo","🔻 Bajando")),"N/A"))</f>
        <v>➡️ Estable</v>
      </c>
      <c r="H26" s="80">
        <f t="array" ref="H26">IFERROR(AVERAGE(INDEX('Seguimiento Semanal'!$I:$I,MAX(2,ROW()-3)):INDEX('Seguimiento Semanal'!$I:$I,ROW())),"")</f>
        <v>0</v>
      </c>
      <c r="I26" s="79" t="str">
        <f t="array" ref="I26">IF(ROW()&lt;9,"N/A",IFERROR(IF(ABS(H26-AVERAGE(INDEX('Seguimiento Semanal'!$I:$I,ROW()-7):INDEX('Seguimiento Semanal'!$I:$I,ROW()-4)))&lt;=ABS(AVERAGE(INDEX('Seguimiento Semanal'!$I:$I,ROW()-7):INDEX('Seguimiento Semanal'!$I:$I,ROW()-4)))*1%,"➡️ Estable",IF(H26&gt;AVERAGE(INDEX('Seguimiento Semanal'!$I:$I,ROW()-7):INDEX('Seguimiento Semanal'!$I:$I,ROW()-4)),"🔼 Subiendo","🔻 Bajando")),"N/A"))</f>
        <v>➡️ Estable</v>
      </c>
      <c r="J26" s="80">
        <f t="array" ref="J26">IFERROR(AVERAGE(INDEX('Seguimiento Semanal'!$K:$K,MAX(2,ROW()-3)):INDEX('Seguimiento Semanal'!$K:$K,ROW())),"")</f>
        <v>0</v>
      </c>
      <c r="K26" s="79" t="str">
        <f t="array" ref="K26">IF(ROW()&lt;9,"N/A",IFERROR(IF(ABS(J26-AVERAGE(INDEX('Seguimiento Semanal'!$K:$K,ROW()-7):INDEX('Seguimiento Semanal'!$K:$K,ROW()-4)))&lt;=ABS(AVERAGE(INDEX('Seguimiento Semanal'!$K:$K,ROW()-7):INDEX('Seguimiento Semanal'!$K:$K,ROW()-4)))*1%,"➡️ Estable",IF(J26&gt;AVERAGE(INDEX('Seguimiento Semanal'!$K:$K,ROW()-7):INDEX('Seguimiento Semanal'!$K:$K,ROW()-4)),"🔼 Subiendo","🔻 Bajando")),"N/A"))</f>
        <v>➡️ Estable</v>
      </c>
      <c r="L26" s="80">
        <f t="array" ref="L26">IFERROR(AVERAGE(INDEX('Seguimiento Semanal'!$M:$M,MAX(2,ROW()-3)):INDEX('Seguimiento Semanal'!$M:$M,ROW())),"")</f>
        <v>0</v>
      </c>
      <c r="M26" s="79" t="str">
        <f t="array" ref="M26">IF(ROW()&lt;9,"N/A",IFERROR(IF(ABS(L26-AVERAGE(INDEX('Seguimiento Semanal'!$M:$M,ROW()-7):INDEX('Seguimiento Semanal'!$M:$M,ROW()-4)))&lt;=ABS(AVERAGE(INDEX('Seguimiento Semanal'!$M:$M,ROW()-7):INDEX('Seguimiento Semanal'!$M:$M,ROW()-4)))*1%,"➡️ Estable",IF(L26&gt;AVERAGE(INDEX('Seguimiento Semanal'!$M:$M,ROW()-7):INDEX('Seguimiento Semanal'!$M:$M,ROW()-4)),"🔼 Subiendo","🔻 Bajando")),"N/A"))</f>
        <v>➡️ Estable</v>
      </c>
      <c r="N26" s="79">
        <f t="array" ref="N26">IFERROR(AVERAGE(INDEX('Seguimiento Semanal'!$N:$N,MAX(2,ROW()-3)):INDEX('Seguimiento Semanal'!$N:$N,ROW())),"")</f>
        <v>0</v>
      </c>
      <c r="O26" s="79" t="str">
        <f t="array" ref="O26">IF(ROW()&lt;9,"N/A",IFERROR(IF(ABS(N26-AVERAGE(INDEX('Seguimiento Semanal'!$N:$N,ROW()-7):INDEX('Seguimiento Semanal'!$N:$N,ROW()-4)))&lt;=ABS(AVERAGE(INDEX('Seguimiento Semanal'!$N:$N,ROW()-7):INDEX('Seguimiento Semanal'!$N:$N,ROW()-4)))*1%,"➡️ Estable",IF(N26&gt;AVERAGE(INDEX('Seguimiento Semanal'!$N:$N,ROW()-7):INDEX('Seguimiento Semanal'!$N:$N,ROW()-4)),"🔼 Subiendo","🔻 Bajando")),"N/A"))</f>
        <v>➡️ Estable</v>
      </c>
    </row>
    <row r="27" ht="15.75" customHeight="1">
      <c r="A27" s="79" t="str">
        <f>'Seguimiento Semanal'!A27</f>
        <v>Sem 26</v>
      </c>
      <c r="B27" s="79">
        <f t="array" ref="B27">IFERROR(AVERAGE(INDEX('Seguimiento Semanal'!$C:$C,MAX(2,ROW()-3)):INDEX('Seguimiento Semanal'!$C:$C,ROW())),"")</f>
        <v>0</v>
      </c>
      <c r="C27" s="79" t="str">
        <f t="array" ref="C27">IF(ROW()&lt;9,"N/A",IFERROR(IF(ABS(B27-AVERAGE(INDEX('Seguimiento Semanal'!$C:$C,ROW()-7):INDEX('Seguimiento Semanal'!$C:$C,ROW()-4)))&lt;=ABS(AVERAGE(INDEX('Seguimiento Semanal'!$C:$C,ROW()-7):INDEX('Seguimiento Semanal'!$C:$C,ROW()-4)))*1%,"➡️ Estable",IF(B27&gt;AVERAGE(INDEX('Seguimiento Semanal'!$C:$C,ROW()-7):INDEX('Seguimiento Semanal'!$C:$C,ROW()-4)),"🔼 Subiendo","🔻 Bajando")),"N/A"))</f>
        <v>➡️ Estable</v>
      </c>
      <c r="D27" s="80">
        <f t="array" ref="D27">IFERROR(AVERAGE(INDEX('Seguimiento Semanal'!$E:$E,MAX(2,ROW()-3)):INDEX('Seguimiento Semanal'!$E:$E,ROW())),"")</f>
        <v>0</v>
      </c>
      <c r="E27" s="79" t="str">
        <f t="array" ref="E27">IF(ROW()&lt;9,"N/A",IFERROR(IF(ABS(D27-AVERAGE(INDEX('Seguimiento Semanal'!$E:$E,ROW()-7):INDEX('Seguimiento Semanal'!$E:$E,ROW()-4)))&lt;=ABS(AVERAGE(INDEX('Seguimiento Semanal'!$E:$E,ROW()-7):INDEX('Seguimiento Semanal'!$E:$E,ROW()-4)))*1%,"➡️ Estable",IF(D27&gt;AVERAGE(INDEX('Seguimiento Semanal'!$E:$E,ROW()-7):INDEX('Seguimiento Semanal'!$E:$E,ROW()-4)),"🔼 Subiendo","🔻 Bajando")),"N/A"))</f>
        <v>➡️ Estable</v>
      </c>
      <c r="F27" s="80">
        <f t="array" ref="F27">IFERROR(AVERAGE(INDEX('Seguimiento Semanal'!$G:$G,MAX(2,ROW()-3)):INDEX('Seguimiento Semanal'!$G:$G,ROW())),"")</f>
        <v>0</v>
      </c>
      <c r="G27" s="79" t="str">
        <f t="array" ref="G27">IF(ROW()&lt;9,"N/A",IFERROR(IF(ABS(F27-AVERAGE(INDEX('Seguimiento Semanal'!$G:$G,ROW()-7):INDEX('Seguimiento Semanal'!$G:$G,ROW()-4)))&lt;=ABS(AVERAGE(INDEX('Seguimiento Semanal'!$G:$G,ROW()-7):INDEX('Seguimiento Semanal'!$G:$G,ROW()-4)))*1%,"➡️ Estable",IF(F27&gt;AVERAGE(INDEX('Seguimiento Semanal'!$G:$G,ROW()-7):INDEX('Seguimiento Semanal'!$G:$G,ROW()-4)),"🔼 Subiendo","🔻 Bajando")),"N/A"))</f>
        <v>➡️ Estable</v>
      </c>
      <c r="H27" s="80">
        <f t="array" ref="H27">IFERROR(AVERAGE(INDEX('Seguimiento Semanal'!$I:$I,MAX(2,ROW()-3)):INDEX('Seguimiento Semanal'!$I:$I,ROW())),"")</f>
        <v>0</v>
      </c>
      <c r="I27" s="79" t="str">
        <f t="array" ref="I27">IF(ROW()&lt;9,"N/A",IFERROR(IF(ABS(H27-AVERAGE(INDEX('Seguimiento Semanal'!$I:$I,ROW()-7):INDEX('Seguimiento Semanal'!$I:$I,ROW()-4)))&lt;=ABS(AVERAGE(INDEX('Seguimiento Semanal'!$I:$I,ROW()-7):INDEX('Seguimiento Semanal'!$I:$I,ROW()-4)))*1%,"➡️ Estable",IF(H27&gt;AVERAGE(INDEX('Seguimiento Semanal'!$I:$I,ROW()-7):INDEX('Seguimiento Semanal'!$I:$I,ROW()-4)),"🔼 Subiendo","🔻 Bajando")),"N/A"))</f>
        <v>➡️ Estable</v>
      </c>
      <c r="J27" s="80">
        <f t="array" ref="J27">IFERROR(AVERAGE(INDEX('Seguimiento Semanal'!$K:$K,MAX(2,ROW()-3)):INDEX('Seguimiento Semanal'!$K:$K,ROW())),"")</f>
        <v>0</v>
      </c>
      <c r="K27" s="79" t="str">
        <f t="array" ref="K27">IF(ROW()&lt;9,"N/A",IFERROR(IF(ABS(J27-AVERAGE(INDEX('Seguimiento Semanal'!$K:$K,ROW()-7):INDEX('Seguimiento Semanal'!$K:$K,ROW()-4)))&lt;=ABS(AVERAGE(INDEX('Seguimiento Semanal'!$K:$K,ROW()-7):INDEX('Seguimiento Semanal'!$K:$K,ROW()-4)))*1%,"➡️ Estable",IF(J27&gt;AVERAGE(INDEX('Seguimiento Semanal'!$K:$K,ROW()-7):INDEX('Seguimiento Semanal'!$K:$K,ROW()-4)),"🔼 Subiendo","🔻 Bajando")),"N/A"))</f>
        <v>➡️ Estable</v>
      </c>
      <c r="L27" s="80">
        <f t="array" ref="L27">IFERROR(AVERAGE(INDEX('Seguimiento Semanal'!$M:$M,MAX(2,ROW()-3)):INDEX('Seguimiento Semanal'!$M:$M,ROW())),"")</f>
        <v>0</v>
      </c>
      <c r="M27" s="79" t="str">
        <f t="array" ref="M27">IF(ROW()&lt;9,"N/A",IFERROR(IF(ABS(L27-AVERAGE(INDEX('Seguimiento Semanal'!$M:$M,ROW()-7):INDEX('Seguimiento Semanal'!$M:$M,ROW()-4)))&lt;=ABS(AVERAGE(INDEX('Seguimiento Semanal'!$M:$M,ROW()-7):INDEX('Seguimiento Semanal'!$M:$M,ROW()-4)))*1%,"➡️ Estable",IF(L27&gt;AVERAGE(INDEX('Seguimiento Semanal'!$M:$M,ROW()-7):INDEX('Seguimiento Semanal'!$M:$M,ROW()-4)),"🔼 Subiendo","🔻 Bajando")),"N/A"))</f>
        <v>➡️ Estable</v>
      </c>
      <c r="N27" s="79">
        <f t="array" ref="N27">IFERROR(AVERAGE(INDEX('Seguimiento Semanal'!$N:$N,MAX(2,ROW()-3)):INDEX('Seguimiento Semanal'!$N:$N,ROW())),"")</f>
        <v>0</v>
      </c>
      <c r="O27" s="79" t="str">
        <f t="array" ref="O27">IF(ROW()&lt;9,"N/A",IFERROR(IF(ABS(N27-AVERAGE(INDEX('Seguimiento Semanal'!$N:$N,ROW()-7):INDEX('Seguimiento Semanal'!$N:$N,ROW()-4)))&lt;=ABS(AVERAGE(INDEX('Seguimiento Semanal'!$N:$N,ROW()-7):INDEX('Seguimiento Semanal'!$N:$N,ROW()-4)))*1%,"➡️ Estable",IF(N27&gt;AVERAGE(INDEX('Seguimiento Semanal'!$N:$N,ROW()-7):INDEX('Seguimiento Semanal'!$N:$N,ROW()-4)),"🔼 Subiendo","🔻 Bajando")),"N/A"))</f>
        <v>➡️ Estable</v>
      </c>
    </row>
    <row r="28" ht="15.75" customHeight="1">
      <c r="A28" s="79" t="str">
        <f>'Seguimiento Semanal'!A28</f>
        <v>Sem 27</v>
      </c>
      <c r="B28" s="79">
        <f t="array" ref="B28">IFERROR(AVERAGE(INDEX('Seguimiento Semanal'!$C:$C,MAX(2,ROW()-3)):INDEX('Seguimiento Semanal'!$C:$C,ROW())),"")</f>
        <v>0</v>
      </c>
      <c r="C28" s="79" t="str">
        <f t="array" ref="C28">IF(ROW()&lt;9,"N/A",IFERROR(IF(ABS(B28-AVERAGE(INDEX('Seguimiento Semanal'!$C:$C,ROW()-7):INDEX('Seguimiento Semanal'!$C:$C,ROW()-4)))&lt;=ABS(AVERAGE(INDEX('Seguimiento Semanal'!$C:$C,ROW()-7):INDEX('Seguimiento Semanal'!$C:$C,ROW()-4)))*1%,"➡️ Estable",IF(B28&gt;AVERAGE(INDEX('Seguimiento Semanal'!$C:$C,ROW()-7):INDEX('Seguimiento Semanal'!$C:$C,ROW()-4)),"🔼 Subiendo","🔻 Bajando")),"N/A"))</f>
        <v>➡️ Estable</v>
      </c>
      <c r="D28" s="80">
        <f t="array" ref="D28">IFERROR(AVERAGE(INDEX('Seguimiento Semanal'!$E:$E,MAX(2,ROW()-3)):INDEX('Seguimiento Semanal'!$E:$E,ROW())),"")</f>
        <v>0</v>
      </c>
      <c r="E28" s="79" t="str">
        <f t="array" ref="E28">IF(ROW()&lt;9,"N/A",IFERROR(IF(ABS(D28-AVERAGE(INDEX('Seguimiento Semanal'!$E:$E,ROW()-7):INDEX('Seguimiento Semanal'!$E:$E,ROW()-4)))&lt;=ABS(AVERAGE(INDEX('Seguimiento Semanal'!$E:$E,ROW()-7):INDEX('Seguimiento Semanal'!$E:$E,ROW()-4)))*1%,"➡️ Estable",IF(D28&gt;AVERAGE(INDEX('Seguimiento Semanal'!$E:$E,ROW()-7):INDEX('Seguimiento Semanal'!$E:$E,ROW()-4)),"🔼 Subiendo","🔻 Bajando")),"N/A"))</f>
        <v>➡️ Estable</v>
      </c>
      <c r="F28" s="80">
        <f t="array" ref="F28">IFERROR(AVERAGE(INDEX('Seguimiento Semanal'!$G:$G,MAX(2,ROW()-3)):INDEX('Seguimiento Semanal'!$G:$G,ROW())),"")</f>
        <v>0</v>
      </c>
      <c r="G28" s="79" t="str">
        <f t="array" ref="G28">IF(ROW()&lt;9,"N/A",IFERROR(IF(ABS(F28-AVERAGE(INDEX('Seguimiento Semanal'!$G:$G,ROW()-7):INDEX('Seguimiento Semanal'!$G:$G,ROW()-4)))&lt;=ABS(AVERAGE(INDEX('Seguimiento Semanal'!$G:$G,ROW()-7):INDEX('Seguimiento Semanal'!$G:$G,ROW()-4)))*1%,"➡️ Estable",IF(F28&gt;AVERAGE(INDEX('Seguimiento Semanal'!$G:$G,ROW()-7):INDEX('Seguimiento Semanal'!$G:$G,ROW()-4)),"🔼 Subiendo","🔻 Bajando")),"N/A"))</f>
        <v>➡️ Estable</v>
      </c>
      <c r="H28" s="80">
        <f t="array" ref="H28">IFERROR(AVERAGE(INDEX('Seguimiento Semanal'!$I:$I,MAX(2,ROW()-3)):INDEX('Seguimiento Semanal'!$I:$I,ROW())),"")</f>
        <v>0</v>
      </c>
      <c r="I28" s="79" t="str">
        <f t="array" ref="I28">IF(ROW()&lt;9,"N/A",IFERROR(IF(ABS(H28-AVERAGE(INDEX('Seguimiento Semanal'!$I:$I,ROW()-7):INDEX('Seguimiento Semanal'!$I:$I,ROW()-4)))&lt;=ABS(AVERAGE(INDEX('Seguimiento Semanal'!$I:$I,ROW()-7):INDEX('Seguimiento Semanal'!$I:$I,ROW()-4)))*1%,"➡️ Estable",IF(H28&gt;AVERAGE(INDEX('Seguimiento Semanal'!$I:$I,ROW()-7):INDEX('Seguimiento Semanal'!$I:$I,ROW()-4)),"🔼 Subiendo","🔻 Bajando")),"N/A"))</f>
        <v>➡️ Estable</v>
      </c>
      <c r="J28" s="80">
        <f t="array" ref="J28">IFERROR(AVERAGE(INDEX('Seguimiento Semanal'!$K:$K,MAX(2,ROW()-3)):INDEX('Seguimiento Semanal'!$K:$K,ROW())),"")</f>
        <v>0</v>
      </c>
      <c r="K28" s="79" t="str">
        <f t="array" ref="K28">IF(ROW()&lt;9,"N/A",IFERROR(IF(ABS(J28-AVERAGE(INDEX('Seguimiento Semanal'!$K:$K,ROW()-7):INDEX('Seguimiento Semanal'!$K:$K,ROW()-4)))&lt;=ABS(AVERAGE(INDEX('Seguimiento Semanal'!$K:$K,ROW()-7):INDEX('Seguimiento Semanal'!$K:$K,ROW()-4)))*1%,"➡️ Estable",IF(J28&gt;AVERAGE(INDEX('Seguimiento Semanal'!$K:$K,ROW()-7):INDEX('Seguimiento Semanal'!$K:$K,ROW()-4)),"🔼 Subiendo","🔻 Bajando")),"N/A"))</f>
        <v>➡️ Estable</v>
      </c>
      <c r="L28" s="80">
        <f t="array" ref="L28">IFERROR(AVERAGE(INDEX('Seguimiento Semanal'!$M:$M,MAX(2,ROW()-3)):INDEX('Seguimiento Semanal'!$M:$M,ROW())),"")</f>
        <v>0</v>
      </c>
      <c r="M28" s="79" t="str">
        <f t="array" ref="M28">IF(ROW()&lt;9,"N/A",IFERROR(IF(ABS(L28-AVERAGE(INDEX('Seguimiento Semanal'!$M:$M,ROW()-7):INDEX('Seguimiento Semanal'!$M:$M,ROW()-4)))&lt;=ABS(AVERAGE(INDEX('Seguimiento Semanal'!$M:$M,ROW()-7):INDEX('Seguimiento Semanal'!$M:$M,ROW()-4)))*1%,"➡️ Estable",IF(L28&gt;AVERAGE(INDEX('Seguimiento Semanal'!$M:$M,ROW()-7):INDEX('Seguimiento Semanal'!$M:$M,ROW()-4)),"🔼 Subiendo","🔻 Bajando")),"N/A"))</f>
        <v>➡️ Estable</v>
      </c>
      <c r="N28" s="79">
        <f t="array" ref="N28">IFERROR(AVERAGE(INDEX('Seguimiento Semanal'!$N:$N,MAX(2,ROW()-3)):INDEX('Seguimiento Semanal'!$N:$N,ROW())),"")</f>
        <v>0</v>
      </c>
      <c r="O28" s="79" t="str">
        <f t="array" ref="O28">IF(ROW()&lt;9,"N/A",IFERROR(IF(ABS(N28-AVERAGE(INDEX('Seguimiento Semanal'!$N:$N,ROW()-7):INDEX('Seguimiento Semanal'!$N:$N,ROW()-4)))&lt;=ABS(AVERAGE(INDEX('Seguimiento Semanal'!$N:$N,ROW()-7):INDEX('Seguimiento Semanal'!$N:$N,ROW()-4)))*1%,"➡️ Estable",IF(N28&gt;AVERAGE(INDEX('Seguimiento Semanal'!$N:$N,ROW()-7):INDEX('Seguimiento Semanal'!$N:$N,ROW()-4)),"🔼 Subiendo","🔻 Bajando")),"N/A"))</f>
        <v>➡️ Estable</v>
      </c>
    </row>
    <row r="29" ht="15.75" customHeight="1">
      <c r="A29" s="79" t="str">
        <f>'Seguimiento Semanal'!A29</f>
        <v>Sem 28</v>
      </c>
      <c r="B29" s="79">
        <f t="array" ref="B29">IFERROR(AVERAGE(INDEX('Seguimiento Semanal'!$C:$C,MAX(2,ROW()-3)):INDEX('Seguimiento Semanal'!$C:$C,ROW())),"")</f>
        <v>0</v>
      </c>
      <c r="C29" s="79" t="str">
        <f t="array" ref="C29">IF(ROW()&lt;9,"N/A",IFERROR(IF(ABS(B29-AVERAGE(INDEX('Seguimiento Semanal'!$C:$C,ROW()-7):INDEX('Seguimiento Semanal'!$C:$C,ROW()-4)))&lt;=ABS(AVERAGE(INDEX('Seguimiento Semanal'!$C:$C,ROW()-7):INDEX('Seguimiento Semanal'!$C:$C,ROW()-4)))*1%,"➡️ Estable",IF(B29&gt;AVERAGE(INDEX('Seguimiento Semanal'!$C:$C,ROW()-7):INDEX('Seguimiento Semanal'!$C:$C,ROW()-4)),"🔼 Subiendo","🔻 Bajando")),"N/A"))</f>
        <v>➡️ Estable</v>
      </c>
      <c r="D29" s="80">
        <f t="array" ref="D29">IFERROR(AVERAGE(INDEX('Seguimiento Semanal'!$E:$E,MAX(2,ROW()-3)):INDEX('Seguimiento Semanal'!$E:$E,ROW())),"")</f>
        <v>0</v>
      </c>
      <c r="E29" s="79" t="str">
        <f t="array" ref="E29">IF(ROW()&lt;9,"N/A",IFERROR(IF(ABS(D29-AVERAGE(INDEX('Seguimiento Semanal'!$E:$E,ROW()-7):INDEX('Seguimiento Semanal'!$E:$E,ROW()-4)))&lt;=ABS(AVERAGE(INDEX('Seguimiento Semanal'!$E:$E,ROW()-7):INDEX('Seguimiento Semanal'!$E:$E,ROW()-4)))*1%,"➡️ Estable",IF(D29&gt;AVERAGE(INDEX('Seguimiento Semanal'!$E:$E,ROW()-7):INDEX('Seguimiento Semanal'!$E:$E,ROW()-4)),"🔼 Subiendo","🔻 Bajando")),"N/A"))</f>
        <v>➡️ Estable</v>
      </c>
      <c r="F29" s="80">
        <f t="array" ref="F29">IFERROR(AVERAGE(INDEX('Seguimiento Semanal'!$G:$G,MAX(2,ROW()-3)):INDEX('Seguimiento Semanal'!$G:$G,ROW())),"")</f>
        <v>0</v>
      </c>
      <c r="G29" s="79" t="str">
        <f t="array" ref="G29">IF(ROW()&lt;9,"N/A",IFERROR(IF(ABS(F29-AVERAGE(INDEX('Seguimiento Semanal'!$G:$G,ROW()-7):INDEX('Seguimiento Semanal'!$G:$G,ROW()-4)))&lt;=ABS(AVERAGE(INDEX('Seguimiento Semanal'!$G:$G,ROW()-7):INDEX('Seguimiento Semanal'!$G:$G,ROW()-4)))*1%,"➡️ Estable",IF(F29&gt;AVERAGE(INDEX('Seguimiento Semanal'!$G:$G,ROW()-7):INDEX('Seguimiento Semanal'!$G:$G,ROW()-4)),"🔼 Subiendo","🔻 Bajando")),"N/A"))</f>
        <v>➡️ Estable</v>
      </c>
      <c r="H29" s="80">
        <f t="array" ref="H29">IFERROR(AVERAGE(INDEX('Seguimiento Semanal'!$I:$I,MAX(2,ROW()-3)):INDEX('Seguimiento Semanal'!$I:$I,ROW())),"")</f>
        <v>0</v>
      </c>
      <c r="I29" s="79" t="str">
        <f t="array" ref="I29">IF(ROW()&lt;9,"N/A",IFERROR(IF(ABS(H29-AVERAGE(INDEX('Seguimiento Semanal'!$I:$I,ROW()-7):INDEX('Seguimiento Semanal'!$I:$I,ROW()-4)))&lt;=ABS(AVERAGE(INDEX('Seguimiento Semanal'!$I:$I,ROW()-7):INDEX('Seguimiento Semanal'!$I:$I,ROW()-4)))*1%,"➡️ Estable",IF(H29&gt;AVERAGE(INDEX('Seguimiento Semanal'!$I:$I,ROW()-7):INDEX('Seguimiento Semanal'!$I:$I,ROW()-4)),"🔼 Subiendo","🔻 Bajando")),"N/A"))</f>
        <v>➡️ Estable</v>
      </c>
      <c r="J29" s="80">
        <f t="array" ref="J29">IFERROR(AVERAGE(INDEX('Seguimiento Semanal'!$K:$K,MAX(2,ROW()-3)):INDEX('Seguimiento Semanal'!$K:$K,ROW())),"")</f>
        <v>0</v>
      </c>
      <c r="K29" s="79" t="str">
        <f t="array" ref="K29">IF(ROW()&lt;9,"N/A",IFERROR(IF(ABS(J29-AVERAGE(INDEX('Seguimiento Semanal'!$K:$K,ROW()-7):INDEX('Seguimiento Semanal'!$K:$K,ROW()-4)))&lt;=ABS(AVERAGE(INDEX('Seguimiento Semanal'!$K:$K,ROW()-7):INDEX('Seguimiento Semanal'!$K:$K,ROW()-4)))*1%,"➡️ Estable",IF(J29&gt;AVERAGE(INDEX('Seguimiento Semanal'!$K:$K,ROW()-7):INDEX('Seguimiento Semanal'!$K:$K,ROW()-4)),"🔼 Subiendo","🔻 Bajando")),"N/A"))</f>
        <v>➡️ Estable</v>
      </c>
      <c r="L29" s="80">
        <f t="array" ref="L29">IFERROR(AVERAGE(INDEX('Seguimiento Semanal'!$M:$M,MAX(2,ROW()-3)):INDEX('Seguimiento Semanal'!$M:$M,ROW())),"")</f>
        <v>0</v>
      </c>
      <c r="M29" s="79" t="str">
        <f t="array" ref="M29">IF(ROW()&lt;9,"N/A",IFERROR(IF(ABS(L29-AVERAGE(INDEX('Seguimiento Semanal'!$M:$M,ROW()-7):INDEX('Seguimiento Semanal'!$M:$M,ROW()-4)))&lt;=ABS(AVERAGE(INDEX('Seguimiento Semanal'!$M:$M,ROW()-7):INDEX('Seguimiento Semanal'!$M:$M,ROW()-4)))*1%,"➡️ Estable",IF(L29&gt;AVERAGE(INDEX('Seguimiento Semanal'!$M:$M,ROW()-7):INDEX('Seguimiento Semanal'!$M:$M,ROW()-4)),"🔼 Subiendo","🔻 Bajando")),"N/A"))</f>
        <v>➡️ Estable</v>
      </c>
      <c r="N29" s="79">
        <f t="array" ref="N29">IFERROR(AVERAGE(INDEX('Seguimiento Semanal'!$N:$N,MAX(2,ROW()-3)):INDEX('Seguimiento Semanal'!$N:$N,ROW())),"")</f>
        <v>0</v>
      </c>
      <c r="O29" s="79" t="str">
        <f t="array" ref="O29">IF(ROW()&lt;9,"N/A",IFERROR(IF(ABS(N29-AVERAGE(INDEX('Seguimiento Semanal'!$N:$N,ROW()-7):INDEX('Seguimiento Semanal'!$N:$N,ROW()-4)))&lt;=ABS(AVERAGE(INDEX('Seguimiento Semanal'!$N:$N,ROW()-7):INDEX('Seguimiento Semanal'!$N:$N,ROW()-4)))*1%,"➡️ Estable",IF(N29&gt;AVERAGE(INDEX('Seguimiento Semanal'!$N:$N,ROW()-7):INDEX('Seguimiento Semanal'!$N:$N,ROW()-4)),"🔼 Subiendo","🔻 Bajando")),"N/A"))</f>
        <v>➡️ Estable</v>
      </c>
    </row>
    <row r="30" ht="15.75" customHeight="1">
      <c r="A30" s="79" t="str">
        <f>'Seguimiento Semanal'!A30</f>
        <v>Sem 29</v>
      </c>
      <c r="B30" s="79">
        <f t="array" ref="B30">IFERROR(AVERAGE(INDEX('Seguimiento Semanal'!$C:$C,MAX(2,ROW()-3)):INDEX('Seguimiento Semanal'!$C:$C,ROW())),"")</f>
        <v>0</v>
      </c>
      <c r="C30" s="79" t="str">
        <f t="array" ref="C30">IF(ROW()&lt;9,"N/A",IFERROR(IF(ABS(B30-AVERAGE(INDEX('Seguimiento Semanal'!$C:$C,ROW()-7):INDEX('Seguimiento Semanal'!$C:$C,ROW()-4)))&lt;=ABS(AVERAGE(INDEX('Seguimiento Semanal'!$C:$C,ROW()-7):INDEX('Seguimiento Semanal'!$C:$C,ROW()-4)))*1%,"➡️ Estable",IF(B30&gt;AVERAGE(INDEX('Seguimiento Semanal'!$C:$C,ROW()-7):INDEX('Seguimiento Semanal'!$C:$C,ROW()-4)),"🔼 Subiendo","🔻 Bajando")),"N/A"))</f>
        <v>➡️ Estable</v>
      </c>
      <c r="D30" s="80">
        <f t="array" ref="D30">IFERROR(AVERAGE(INDEX('Seguimiento Semanal'!$E:$E,MAX(2,ROW()-3)):INDEX('Seguimiento Semanal'!$E:$E,ROW())),"")</f>
        <v>0</v>
      </c>
      <c r="E30" s="79" t="str">
        <f t="array" ref="E30">IF(ROW()&lt;9,"N/A",IFERROR(IF(ABS(D30-AVERAGE(INDEX('Seguimiento Semanal'!$E:$E,ROW()-7):INDEX('Seguimiento Semanal'!$E:$E,ROW()-4)))&lt;=ABS(AVERAGE(INDEX('Seguimiento Semanal'!$E:$E,ROW()-7):INDEX('Seguimiento Semanal'!$E:$E,ROW()-4)))*1%,"➡️ Estable",IF(D30&gt;AVERAGE(INDEX('Seguimiento Semanal'!$E:$E,ROW()-7):INDEX('Seguimiento Semanal'!$E:$E,ROW()-4)),"🔼 Subiendo","🔻 Bajando")),"N/A"))</f>
        <v>➡️ Estable</v>
      </c>
      <c r="F30" s="80">
        <f t="array" ref="F30">IFERROR(AVERAGE(INDEX('Seguimiento Semanal'!$G:$G,MAX(2,ROW()-3)):INDEX('Seguimiento Semanal'!$G:$G,ROW())),"")</f>
        <v>0</v>
      </c>
      <c r="G30" s="79" t="str">
        <f t="array" ref="G30">IF(ROW()&lt;9,"N/A",IFERROR(IF(ABS(F30-AVERAGE(INDEX('Seguimiento Semanal'!$G:$G,ROW()-7):INDEX('Seguimiento Semanal'!$G:$G,ROW()-4)))&lt;=ABS(AVERAGE(INDEX('Seguimiento Semanal'!$G:$G,ROW()-7):INDEX('Seguimiento Semanal'!$G:$G,ROW()-4)))*1%,"➡️ Estable",IF(F30&gt;AVERAGE(INDEX('Seguimiento Semanal'!$G:$G,ROW()-7):INDEX('Seguimiento Semanal'!$G:$G,ROW()-4)),"🔼 Subiendo","🔻 Bajando")),"N/A"))</f>
        <v>➡️ Estable</v>
      </c>
      <c r="H30" s="80">
        <f t="array" ref="H30">IFERROR(AVERAGE(INDEX('Seguimiento Semanal'!$I:$I,MAX(2,ROW()-3)):INDEX('Seguimiento Semanal'!$I:$I,ROW())),"")</f>
        <v>0</v>
      </c>
      <c r="I30" s="79" t="str">
        <f t="array" ref="I30">IF(ROW()&lt;9,"N/A",IFERROR(IF(ABS(H30-AVERAGE(INDEX('Seguimiento Semanal'!$I:$I,ROW()-7):INDEX('Seguimiento Semanal'!$I:$I,ROW()-4)))&lt;=ABS(AVERAGE(INDEX('Seguimiento Semanal'!$I:$I,ROW()-7):INDEX('Seguimiento Semanal'!$I:$I,ROW()-4)))*1%,"➡️ Estable",IF(H30&gt;AVERAGE(INDEX('Seguimiento Semanal'!$I:$I,ROW()-7):INDEX('Seguimiento Semanal'!$I:$I,ROW()-4)),"🔼 Subiendo","🔻 Bajando")),"N/A"))</f>
        <v>➡️ Estable</v>
      </c>
      <c r="J30" s="80">
        <f t="array" ref="J30">IFERROR(AVERAGE(INDEX('Seguimiento Semanal'!$K:$K,MAX(2,ROW()-3)):INDEX('Seguimiento Semanal'!$K:$K,ROW())),"")</f>
        <v>0</v>
      </c>
      <c r="K30" s="79" t="str">
        <f t="array" ref="K30">IF(ROW()&lt;9,"N/A",IFERROR(IF(ABS(J30-AVERAGE(INDEX('Seguimiento Semanal'!$K:$K,ROW()-7):INDEX('Seguimiento Semanal'!$K:$K,ROW()-4)))&lt;=ABS(AVERAGE(INDEX('Seguimiento Semanal'!$K:$K,ROW()-7):INDEX('Seguimiento Semanal'!$K:$K,ROW()-4)))*1%,"➡️ Estable",IF(J30&gt;AVERAGE(INDEX('Seguimiento Semanal'!$K:$K,ROW()-7):INDEX('Seguimiento Semanal'!$K:$K,ROW()-4)),"🔼 Subiendo","🔻 Bajando")),"N/A"))</f>
        <v>➡️ Estable</v>
      </c>
      <c r="L30" s="80">
        <f t="array" ref="L30">IFERROR(AVERAGE(INDEX('Seguimiento Semanal'!$M:$M,MAX(2,ROW()-3)):INDEX('Seguimiento Semanal'!$M:$M,ROW())),"")</f>
        <v>0</v>
      </c>
      <c r="M30" s="79" t="str">
        <f t="array" ref="M30">IF(ROW()&lt;9,"N/A",IFERROR(IF(ABS(L30-AVERAGE(INDEX('Seguimiento Semanal'!$M:$M,ROW()-7):INDEX('Seguimiento Semanal'!$M:$M,ROW()-4)))&lt;=ABS(AVERAGE(INDEX('Seguimiento Semanal'!$M:$M,ROW()-7):INDEX('Seguimiento Semanal'!$M:$M,ROW()-4)))*1%,"➡️ Estable",IF(L30&gt;AVERAGE(INDEX('Seguimiento Semanal'!$M:$M,ROW()-7):INDEX('Seguimiento Semanal'!$M:$M,ROW()-4)),"🔼 Subiendo","🔻 Bajando")),"N/A"))</f>
        <v>➡️ Estable</v>
      </c>
      <c r="N30" s="79">
        <f t="array" ref="N30">IFERROR(AVERAGE(INDEX('Seguimiento Semanal'!$N:$N,MAX(2,ROW()-3)):INDEX('Seguimiento Semanal'!$N:$N,ROW())),"")</f>
        <v>0</v>
      </c>
      <c r="O30" s="79" t="str">
        <f t="array" ref="O30">IF(ROW()&lt;9,"N/A",IFERROR(IF(ABS(N30-AVERAGE(INDEX('Seguimiento Semanal'!$N:$N,ROW()-7):INDEX('Seguimiento Semanal'!$N:$N,ROW()-4)))&lt;=ABS(AVERAGE(INDEX('Seguimiento Semanal'!$N:$N,ROW()-7):INDEX('Seguimiento Semanal'!$N:$N,ROW()-4)))*1%,"➡️ Estable",IF(N30&gt;AVERAGE(INDEX('Seguimiento Semanal'!$N:$N,ROW()-7):INDEX('Seguimiento Semanal'!$N:$N,ROW()-4)),"🔼 Subiendo","🔻 Bajando")),"N/A"))</f>
        <v>➡️ Estable</v>
      </c>
    </row>
    <row r="31" ht="15.75" customHeight="1">
      <c r="A31" s="79" t="str">
        <f>'Seguimiento Semanal'!A31</f>
        <v>Sem 30</v>
      </c>
      <c r="B31" s="79">
        <f t="array" ref="B31">IFERROR(AVERAGE(INDEX('Seguimiento Semanal'!$C:$C,MAX(2,ROW()-3)):INDEX('Seguimiento Semanal'!$C:$C,ROW())),"")</f>
        <v>0</v>
      </c>
      <c r="C31" s="79" t="str">
        <f t="array" ref="C31">IF(ROW()&lt;9,"N/A",IFERROR(IF(ABS(B31-AVERAGE(INDEX('Seguimiento Semanal'!$C:$C,ROW()-7):INDEX('Seguimiento Semanal'!$C:$C,ROW()-4)))&lt;=ABS(AVERAGE(INDEX('Seguimiento Semanal'!$C:$C,ROW()-7):INDEX('Seguimiento Semanal'!$C:$C,ROW()-4)))*1%,"➡️ Estable",IF(B31&gt;AVERAGE(INDEX('Seguimiento Semanal'!$C:$C,ROW()-7):INDEX('Seguimiento Semanal'!$C:$C,ROW()-4)),"🔼 Subiendo","🔻 Bajando")),"N/A"))</f>
        <v>➡️ Estable</v>
      </c>
      <c r="D31" s="80">
        <f t="array" ref="D31">IFERROR(AVERAGE(INDEX('Seguimiento Semanal'!$E:$E,MAX(2,ROW()-3)):INDEX('Seguimiento Semanal'!$E:$E,ROW())),"")</f>
        <v>0</v>
      </c>
      <c r="E31" s="79" t="str">
        <f t="array" ref="E31">IF(ROW()&lt;9,"N/A",IFERROR(IF(ABS(D31-AVERAGE(INDEX('Seguimiento Semanal'!$E:$E,ROW()-7):INDEX('Seguimiento Semanal'!$E:$E,ROW()-4)))&lt;=ABS(AVERAGE(INDEX('Seguimiento Semanal'!$E:$E,ROW()-7):INDEX('Seguimiento Semanal'!$E:$E,ROW()-4)))*1%,"➡️ Estable",IF(D31&gt;AVERAGE(INDEX('Seguimiento Semanal'!$E:$E,ROW()-7):INDEX('Seguimiento Semanal'!$E:$E,ROW()-4)),"🔼 Subiendo","🔻 Bajando")),"N/A"))</f>
        <v>➡️ Estable</v>
      </c>
      <c r="F31" s="80">
        <f t="array" ref="F31">IFERROR(AVERAGE(INDEX('Seguimiento Semanal'!$G:$G,MAX(2,ROW()-3)):INDEX('Seguimiento Semanal'!$G:$G,ROW())),"")</f>
        <v>0</v>
      </c>
      <c r="G31" s="79" t="str">
        <f t="array" ref="G31">IF(ROW()&lt;9,"N/A",IFERROR(IF(ABS(F31-AVERAGE(INDEX('Seguimiento Semanal'!$G:$G,ROW()-7):INDEX('Seguimiento Semanal'!$G:$G,ROW()-4)))&lt;=ABS(AVERAGE(INDEX('Seguimiento Semanal'!$G:$G,ROW()-7):INDEX('Seguimiento Semanal'!$G:$G,ROW()-4)))*1%,"➡️ Estable",IF(F31&gt;AVERAGE(INDEX('Seguimiento Semanal'!$G:$G,ROW()-7):INDEX('Seguimiento Semanal'!$G:$G,ROW()-4)),"🔼 Subiendo","🔻 Bajando")),"N/A"))</f>
        <v>➡️ Estable</v>
      </c>
      <c r="H31" s="80">
        <f t="array" ref="H31">IFERROR(AVERAGE(INDEX('Seguimiento Semanal'!$I:$I,MAX(2,ROW()-3)):INDEX('Seguimiento Semanal'!$I:$I,ROW())),"")</f>
        <v>0</v>
      </c>
      <c r="I31" s="79" t="str">
        <f t="array" ref="I31">IF(ROW()&lt;9,"N/A",IFERROR(IF(ABS(H31-AVERAGE(INDEX('Seguimiento Semanal'!$I:$I,ROW()-7):INDEX('Seguimiento Semanal'!$I:$I,ROW()-4)))&lt;=ABS(AVERAGE(INDEX('Seguimiento Semanal'!$I:$I,ROW()-7):INDEX('Seguimiento Semanal'!$I:$I,ROW()-4)))*1%,"➡️ Estable",IF(H31&gt;AVERAGE(INDEX('Seguimiento Semanal'!$I:$I,ROW()-7):INDEX('Seguimiento Semanal'!$I:$I,ROW()-4)),"🔼 Subiendo","🔻 Bajando")),"N/A"))</f>
        <v>➡️ Estable</v>
      </c>
      <c r="J31" s="80">
        <f t="array" ref="J31">IFERROR(AVERAGE(INDEX('Seguimiento Semanal'!$K:$K,MAX(2,ROW()-3)):INDEX('Seguimiento Semanal'!$K:$K,ROW())),"")</f>
        <v>0</v>
      </c>
      <c r="K31" s="79" t="str">
        <f t="array" ref="K31">IF(ROW()&lt;9,"N/A",IFERROR(IF(ABS(J31-AVERAGE(INDEX('Seguimiento Semanal'!$K:$K,ROW()-7):INDEX('Seguimiento Semanal'!$K:$K,ROW()-4)))&lt;=ABS(AVERAGE(INDEX('Seguimiento Semanal'!$K:$K,ROW()-7):INDEX('Seguimiento Semanal'!$K:$K,ROW()-4)))*1%,"➡️ Estable",IF(J31&gt;AVERAGE(INDEX('Seguimiento Semanal'!$K:$K,ROW()-7):INDEX('Seguimiento Semanal'!$K:$K,ROW()-4)),"🔼 Subiendo","🔻 Bajando")),"N/A"))</f>
        <v>➡️ Estable</v>
      </c>
      <c r="L31" s="80">
        <f t="array" ref="L31">IFERROR(AVERAGE(INDEX('Seguimiento Semanal'!$M:$M,MAX(2,ROW()-3)):INDEX('Seguimiento Semanal'!$M:$M,ROW())),"")</f>
        <v>0</v>
      </c>
      <c r="M31" s="79" t="str">
        <f t="array" ref="M31">IF(ROW()&lt;9,"N/A",IFERROR(IF(ABS(L31-AVERAGE(INDEX('Seguimiento Semanal'!$M:$M,ROW()-7):INDEX('Seguimiento Semanal'!$M:$M,ROW()-4)))&lt;=ABS(AVERAGE(INDEX('Seguimiento Semanal'!$M:$M,ROW()-7):INDEX('Seguimiento Semanal'!$M:$M,ROW()-4)))*1%,"➡️ Estable",IF(L31&gt;AVERAGE(INDEX('Seguimiento Semanal'!$M:$M,ROW()-7):INDEX('Seguimiento Semanal'!$M:$M,ROW()-4)),"🔼 Subiendo","🔻 Bajando")),"N/A"))</f>
        <v>➡️ Estable</v>
      </c>
      <c r="N31" s="79">
        <f t="array" ref="N31">IFERROR(AVERAGE(INDEX('Seguimiento Semanal'!$N:$N,MAX(2,ROW()-3)):INDEX('Seguimiento Semanal'!$N:$N,ROW())),"")</f>
        <v>0</v>
      </c>
      <c r="O31" s="79" t="str">
        <f t="array" ref="O31">IF(ROW()&lt;9,"N/A",IFERROR(IF(ABS(N31-AVERAGE(INDEX('Seguimiento Semanal'!$N:$N,ROW()-7):INDEX('Seguimiento Semanal'!$N:$N,ROW()-4)))&lt;=ABS(AVERAGE(INDEX('Seguimiento Semanal'!$N:$N,ROW()-7):INDEX('Seguimiento Semanal'!$N:$N,ROW()-4)))*1%,"➡️ Estable",IF(N31&gt;AVERAGE(INDEX('Seguimiento Semanal'!$N:$N,ROW()-7):INDEX('Seguimiento Semanal'!$N:$N,ROW()-4)),"🔼 Subiendo","🔻 Bajando")),"N/A"))</f>
        <v>➡️ Estable</v>
      </c>
    </row>
    <row r="32" ht="15.75" customHeight="1">
      <c r="A32" s="79" t="str">
        <f>'Seguimiento Semanal'!A32</f>
        <v>Sem 31</v>
      </c>
      <c r="B32" s="79">
        <f t="array" ref="B32">IFERROR(AVERAGE(INDEX('Seguimiento Semanal'!$C:$C,MAX(2,ROW()-3)):INDEX('Seguimiento Semanal'!$C:$C,ROW())),"")</f>
        <v>0</v>
      </c>
      <c r="C32" s="79" t="str">
        <f t="array" ref="C32">IF(ROW()&lt;9,"N/A",IFERROR(IF(ABS(B32-AVERAGE(INDEX('Seguimiento Semanal'!$C:$C,ROW()-7):INDEX('Seguimiento Semanal'!$C:$C,ROW()-4)))&lt;=ABS(AVERAGE(INDEX('Seguimiento Semanal'!$C:$C,ROW()-7):INDEX('Seguimiento Semanal'!$C:$C,ROW()-4)))*1%,"➡️ Estable",IF(B32&gt;AVERAGE(INDEX('Seguimiento Semanal'!$C:$C,ROW()-7):INDEX('Seguimiento Semanal'!$C:$C,ROW()-4)),"🔼 Subiendo","🔻 Bajando")),"N/A"))</f>
        <v>➡️ Estable</v>
      </c>
      <c r="D32" s="80">
        <f t="array" ref="D32">IFERROR(AVERAGE(INDEX('Seguimiento Semanal'!$E:$E,MAX(2,ROW()-3)):INDEX('Seguimiento Semanal'!$E:$E,ROW())),"")</f>
        <v>0</v>
      </c>
      <c r="E32" s="79" t="str">
        <f t="array" ref="E32">IF(ROW()&lt;9,"N/A",IFERROR(IF(ABS(D32-AVERAGE(INDEX('Seguimiento Semanal'!$E:$E,ROW()-7):INDEX('Seguimiento Semanal'!$E:$E,ROW()-4)))&lt;=ABS(AVERAGE(INDEX('Seguimiento Semanal'!$E:$E,ROW()-7):INDEX('Seguimiento Semanal'!$E:$E,ROW()-4)))*1%,"➡️ Estable",IF(D32&gt;AVERAGE(INDEX('Seguimiento Semanal'!$E:$E,ROW()-7):INDEX('Seguimiento Semanal'!$E:$E,ROW()-4)),"🔼 Subiendo","🔻 Bajando")),"N/A"))</f>
        <v>➡️ Estable</v>
      </c>
      <c r="F32" s="80">
        <f t="array" ref="F32">IFERROR(AVERAGE(INDEX('Seguimiento Semanal'!$G:$G,MAX(2,ROW()-3)):INDEX('Seguimiento Semanal'!$G:$G,ROW())),"")</f>
        <v>0</v>
      </c>
      <c r="G32" s="79" t="str">
        <f t="array" ref="G32">IF(ROW()&lt;9,"N/A",IFERROR(IF(ABS(F32-AVERAGE(INDEX('Seguimiento Semanal'!$G:$G,ROW()-7):INDEX('Seguimiento Semanal'!$G:$G,ROW()-4)))&lt;=ABS(AVERAGE(INDEX('Seguimiento Semanal'!$G:$G,ROW()-7):INDEX('Seguimiento Semanal'!$G:$G,ROW()-4)))*1%,"➡️ Estable",IF(F32&gt;AVERAGE(INDEX('Seguimiento Semanal'!$G:$G,ROW()-7):INDEX('Seguimiento Semanal'!$G:$G,ROW()-4)),"🔼 Subiendo","🔻 Bajando")),"N/A"))</f>
        <v>➡️ Estable</v>
      </c>
      <c r="H32" s="80">
        <f t="array" ref="H32">IFERROR(AVERAGE(INDEX('Seguimiento Semanal'!$I:$I,MAX(2,ROW()-3)):INDEX('Seguimiento Semanal'!$I:$I,ROW())),"")</f>
        <v>0</v>
      </c>
      <c r="I32" s="79" t="str">
        <f t="array" ref="I32">IF(ROW()&lt;9,"N/A",IFERROR(IF(ABS(H32-AVERAGE(INDEX('Seguimiento Semanal'!$I:$I,ROW()-7):INDEX('Seguimiento Semanal'!$I:$I,ROW()-4)))&lt;=ABS(AVERAGE(INDEX('Seguimiento Semanal'!$I:$I,ROW()-7):INDEX('Seguimiento Semanal'!$I:$I,ROW()-4)))*1%,"➡️ Estable",IF(H32&gt;AVERAGE(INDEX('Seguimiento Semanal'!$I:$I,ROW()-7):INDEX('Seguimiento Semanal'!$I:$I,ROW()-4)),"🔼 Subiendo","🔻 Bajando")),"N/A"))</f>
        <v>➡️ Estable</v>
      </c>
      <c r="J32" s="80">
        <f t="array" ref="J32">IFERROR(AVERAGE(INDEX('Seguimiento Semanal'!$K:$K,MAX(2,ROW()-3)):INDEX('Seguimiento Semanal'!$K:$K,ROW())),"")</f>
        <v>0</v>
      </c>
      <c r="K32" s="79" t="str">
        <f t="array" ref="K32">IF(ROW()&lt;9,"N/A",IFERROR(IF(ABS(J32-AVERAGE(INDEX('Seguimiento Semanal'!$K:$K,ROW()-7):INDEX('Seguimiento Semanal'!$K:$K,ROW()-4)))&lt;=ABS(AVERAGE(INDEX('Seguimiento Semanal'!$K:$K,ROW()-7):INDEX('Seguimiento Semanal'!$K:$K,ROW()-4)))*1%,"➡️ Estable",IF(J32&gt;AVERAGE(INDEX('Seguimiento Semanal'!$K:$K,ROW()-7):INDEX('Seguimiento Semanal'!$K:$K,ROW()-4)),"🔼 Subiendo","🔻 Bajando")),"N/A"))</f>
        <v>➡️ Estable</v>
      </c>
      <c r="L32" s="80">
        <f t="array" ref="L32">IFERROR(AVERAGE(INDEX('Seguimiento Semanal'!$M:$M,MAX(2,ROW()-3)):INDEX('Seguimiento Semanal'!$M:$M,ROW())),"")</f>
        <v>0</v>
      </c>
      <c r="M32" s="79" t="str">
        <f t="array" ref="M32">IF(ROW()&lt;9,"N/A",IFERROR(IF(ABS(L32-AVERAGE(INDEX('Seguimiento Semanal'!$M:$M,ROW()-7):INDEX('Seguimiento Semanal'!$M:$M,ROW()-4)))&lt;=ABS(AVERAGE(INDEX('Seguimiento Semanal'!$M:$M,ROW()-7):INDEX('Seguimiento Semanal'!$M:$M,ROW()-4)))*1%,"➡️ Estable",IF(L32&gt;AVERAGE(INDEX('Seguimiento Semanal'!$M:$M,ROW()-7):INDEX('Seguimiento Semanal'!$M:$M,ROW()-4)),"🔼 Subiendo","🔻 Bajando")),"N/A"))</f>
        <v>➡️ Estable</v>
      </c>
      <c r="N32" s="79">
        <f t="array" ref="N32">IFERROR(AVERAGE(INDEX('Seguimiento Semanal'!$N:$N,MAX(2,ROW()-3)):INDEX('Seguimiento Semanal'!$N:$N,ROW())),"")</f>
        <v>0</v>
      </c>
      <c r="O32" s="79" t="str">
        <f t="array" ref="O32">IF(ROW()&lt;9,"N/A",IFERROR(IF(ABS(N32-AVERAGE(INDEX('Seguimiento Semanal'!$N:$N,ROW()-7):INDEX('Seguimiento Semanal'!$N:$N,ROW()-4)))&lt;=ABS(AVERAGE(INDEX('Seguimiento Semanal'!$N:$N,ROW()-7):INDEX('Seguimiento Semanal'!$N:$N,ROW()-4)))*1%,"➡️ Estable",IF(N32&gt;AVERAGE(INDEX('Seguimiento Semanal'!$N:$N,ROW()-7):INDEX('Seguimiento Semanal'!$N:$N,ROW()-4)),"🔼 Subiendo","🔻 Bajando")),"N/A"))</f>
        <v>➡️ Estable</v>
      </c>
    </row>
    <row r="33" ht="15.75" customHeight="1">
      <c r="A33" s="79" t="str">
        <f>'Seguimiento Semanal'!A33</f>
        <v>Sem 32</v>
      </c>
      <c r="B33" s="79">
        <f t="array" ref="B33">IFERROR(AVERAGE(INDEX('Seguimiento Semanal'!$C:$C,MAX(2,ROW()-3)):INDEX('Seguimiento Semanal'!$C:$C,ROW())),"")</f>
        <v>0</v>
      </c>
      <c r="C33" s="79" t="str">
        <f t="array" ref="C33">IF(ROW()&lt;9,"N/A",IFERROR(IF(ABS(B33-AVERAGE(INDEX('Seguimiento Semanal'!$C:$C,ROW()-7):INDEX('Seguimiento Semanal'!$C:$C,ROW()-4)))&lt;=ABS(AVERAGE(INDEX('Seguimiento Semanal'!$C:$C,ROW()-7):INDEX('Seguimiento Semanal'!$C:$C,ROW()-4)))*1%,"➡️ Estable",IF(B33&gt;AVERAGE(INDEX('Seguimiento Semanal'!$C:$C,ROW()-7):INDEX('Seguimiento Semanal'!$C:$C,ROW()-4)),"🔼 Subiendo","🔻 Bajando")),"N/A"))</f>
        <v>➡️ Estable</v>
      </c>
      <c r="D33" s="80">
        <f t="array" ref="D33">IFERROR(AVERAGE(INDEX('Seguimiento Semanal'!$E:$E,MAX(2,ROW()-3)):INDEX('Seguimiento Semanal'!$E:$E,ROW())),"")</f>
        <v>0</v>
      </c>
      <c r="E33" s="79" t="str">
        <f t="array" ref="E33">IF(ROW()&lt;9,"N/A",IFERROR(IF(ABS(D33-AVERAGE(INDEX('Seguimiento Semanal'!$E:$E,ROW()-7):INDEX('Seguimiento Semanal'!$E:$E,ROW()-4)))&lt;=ABS(AVERAGE(INDEX('Seguimiento Semanal'!$E:$E,ROW()-7):INDEX('Seguimiento Semanal'!$E:$E,ROW()-4)))*1%,"➡️ Estable",IF(D33&gt;AVERAGE(INDEX('Seguimiento Semanal'!$E:$E,ROW()-7):INDEX('Seguimiento Semanal'!$E:$E,ROW()-4)),"🔼 Subiendo","🔻 Bajando")),"N/A"))</f>
        <v>➡️ Estable</v>
      </c>
      <c r="F33" s="80">
        <f t="array" ref="F33">IFERROR(AVERAGE(INDEX('Seguimiento Semanal'!$G:$G,MAX(2,ROW()-3)):INDEX('Seguimiento Semanal'!$G:$G,ROW())),"")</f>
        <v>0</v>
      </c>
      <c r="G33" s="79" t="str">
        <f t="array" ref="G33">IF(ROW()&lt;9,"N/A",IFERROR(IF(ABS(F33-AVERAGE(INDEX('Seguimiento Semanal'!$G:$G,ROW()-7):INDEX('Seguimiento Semanal'!$G:$G,ROW()-4)))&lt;=ABS(AVERAGE(INDEX('Seguimiento Semanal'!$G:$G,ROW()-7):INDEX('Seguimiento Semanal'!$G:$G,ROW()-4)))*1%,"➡️ Estable",IF(F33&gt;AVERAGE(INDEX('Seguimiento Semanal'!$G:$G,ROW()-7):INDEX('Seguimiento Semanal'!$G:$G,ROW()-4)),"🔼 Subiendo","🔻 Bajando")),"N/A"))</f>
        <v>➡️ Estable</v>
      </c>
      <c r="H33" s="80">
        <f t="array" ref="H33">IFERROR(AVERAGE(INDEX('Seguimiento Semanal'!$I:$I,MAX(2,ROW()-3)):INDEX('Seguimiento Semanal'!$I:$I,ROW())),"")</f>
        <v>0</v>
      </c>
      <c r="I33" s="79" t="str">
        <f t="array" ref="I33">IF(ROW()&lt;9,"N/A",IFERROR(IF(ABS(H33-AVERAGE(INDEX('Seguimiento Semanal'!$I:$I,ROW()-7):INDEX('Seguimiento Semanal'!$I:$I,ROW()-4)))&lt;=ABS(AVERAGE(INDEX('Seguimiento Semanal'!$I:$I,ROW()-7):INDEX('Seguimiento Semanal'!$I:$I,ROW()-4)))*1%,"➡️ Estable",IF(H33&gt;AVERAGE(INDEX('Seguimiento Semanal'!$I:$I,ROW()-7):INDEX('Seguimiento Semanal'!$I:$I,ROW()-4)),"🔼 Subiendo","🔻 Bajando")),"N/A"))</f>
        <v>➡️ Estable</v>
      </c>
      <c r="J33" s="80">
        <f t="array" ref="J33">IFERROR(AVERAGE(INDEX('Seguimiento Semanal'!$K:$K,MAX(2,ROW()-3)):INDEX('Seguimiento Semanal'!$K:$K,ROW())),"")</f>
        <v>0</v>
      </c>
      <c r="K33" s="79" t="str">
        <f t="array" ref="K33">IF(ROW()&lt;9,"N/A",IFERROR(IF(ABS(J33-AVERAGE(INDEX('Seguimiento Semanal'!$K:$K,ROW()-7):INDEX('Seguimiento Semanal'!$K:$K,ROW()-4)))&lt;=ABS(AVERAGE(INDEX('Seguimiento Semanal'!$K:$K,ROW()-7):INDEX('Seguimiento Semanal'!$K:$K,ROW()-4)))*1%,"➡️ Estable",IF(J33&gt;AVERAGE(INDEX('Seguimiento Semanal'!$K:$K,ROW()-7):INDEX('Seguimiento Semanal'!$K:$K,ROW()-4)),"🔼 Subiendo","🔻 Bajando")),"N/A"))</f>
        <v>➡️ Estable</v>
      </c>
      <c r="L33" s="80">
        <f t="array" ref="L33">IFERROR(AVERAGE(INDEX('Seguimiento Semanal'!$M:$M,MAX(2,ROW()-3)):INDEX('Seguimiento Semanal'!$M:$M,ROW())),"")</f>
        <v>0</v>
      </c>
      <c r="M33" s="79" t="str">
        <f t="array" ref="M33">IF(ROW()&lt;9,"N/A",IFERROR(IF(ABS(L33-AVERAGE(INDEX('Seguimiento Semanal'!$M:$M,ROW()-7):INDEX('Seguimiento Semanal'!$M:$M,ROW()-4)))&lt;=ABS(AVERAGE(INDEX('Seguimiento Semanal'!$M:$M,ROW()-7):INDEX('Seguimiento Semanal'!$M:$M,ROW()-4)))*1%,"➡️ Estable",IF(L33&gt;AVERAGE(INDEX('Seguimiento Semanal'!$M:$M,ROW()-7):INDEX('Seguimiento Semanal'!$M:$M,ROW()-4)),"🔼 Subiendo","🔻 Bajando")),"N/A"))</f>
        <v>➡️ Estable</v>
      </c>
      <c r="N33" s="79">
        <f t="array" ref="N33">IFERROR(AVERAGE(INDEX('Seguimiento Semanal'!$N:$N,MAX(2,ROW()-3)):INDEX('Seguimiento Semanal'!$N:$N,ROW())),"")</f>
        <v>0</v>
      </c>
      <c r="O33" s="79" t="str">
        <f t="array" ref="O33">IF(ROW()&lt;9,"N/A",IFERROR(IF(ABS(N33-AVERAGE(INDEX('Seguimiento Semanal'!$N:$N,ROW()-7):INDEX('Seguimiento Semanal'!$N:$N,ROW()-4)))&lt;=ABS(AVERAGE(INDEX('Seguimiento Semanal'!$N:$N,ROW()-7):INDEX('Seguimiento Semanal'!$N:$N,ROW()-4)))*1%,"➡️ Estable",IF(N33&gt;AVERAGE(INDEX('Seguimiento Semanal'!$N:$N,ROW()-7):INDEX('Seguimiento Semanal'!$N:$N,ROW()-4)),"🔼 Subiendo","🔻 Bajando")),"N/A"))</f>
        <v>➡️ Estable</v>
      </c>
    </row>
    <row r="34" ht="15.75" customHeight="1">
      <c r="A34" s="79" t="str">
        <f>'Seguimiento Semanal'!A34</f>
        <v>Sem 33</v>
      </c>
      <c r="B34" s="79">
        <f t="array" ref="B34">IFERROR(AVERAGE(INDEX('Seguimiento Semanal'!$C:$C,MAX(2,ROW()-3)):INDEX('Seguimiento Semanal'!$C:$C,ROW())),"")</f>
        <v>0</v>
      </c>
      <c r="C34" s="79" t="str">
        <f t="array" ref="C34">IF(ROW()&lt;9,"N/A",IFERROR(IF(ABS(B34-AVERAGE(INDEX('Seguimiento Semanal'!$C:$C,ROW()-7):INDEX('Seguimiento Semanal'!$C:$C,ROW()-4)))&lt;=ABS(AVERAGE(INDEX('Seguimiento Semanal'!$C:$C,ROW()-7):INDEX('Seguimiento Semanal'!$C:$C,ROW()-4)))*1%,"➡️ Estable",IF(B34&gt;AVERAGE(INDEX('Seguimiento Semanal'!$C:$C,ROW()-7):INDEX('Seguimiento Semanal'!$C:$C,ROW()-4)),"🔼 Subiendo","🔻 Bajando")),"N/A"))</f>
        <v>➡️ Estable</v>
      </c>
      <c r="D34" s="80">
        <f t="array" ref="D34">IFERROR(AVERAGE(INDEX('Seguimiento Semanal'!$E:$E,MAX(2,ROW()-3)):INDEX('Seguimiento Semanal'!$E:$E,ROW())),"")</f>
        <v>0</v>
      </c>
      <c r="E34" s="79" t="str">
        <f t="array" ref="E34">IF(ROW()&lt;9,"N/A",IFERROR(IF(ABS(D34-AVERAGE(INDEX('Seguimiento Semanal'!$E:$E,ROW()-7):INDEX('Seguimiento Semanal'!$E:$E,ROW()-4)))&lt;=ABS(AVERAGE(INDEX('Seguimiento Semanal'!$E:$E,ROW()-7):INDEX('Seguimiento Semanal'!$E:$E,ROW()-4)))*1%,"➡️ Estable",IF(D34&gt;AVERAGE(INDEX('Seguimiento Semanal'!$E:$E,ROW()-7):INDEX('Seguimiento Semanal'!$E:$E,ROW()-4)),"🔼 Subiendo","🔻 Bajando")),"N/A"))</f>
        <v>➡️ Estable</v>
      </c>
      <c r="F34" s="80">
        <f t="array" ref="F34">IFERROR(AVERAGE(INDEX('Seguimiento Semanal'!$G:$G,MAX(2,ROW()-3)):INDEX('Seguimiento Semanal'!$G:$G,ROW())),"")</f>
        <v>0</v>
      </c>
      <c r="G34" s="79" t="str">
        <f t="array" ref="G34">IF(ROW()&lt;9,"N/A",IFERROR(IF(ABS(F34-AVERAGE(INDEX('Seguimiento Semanal'!$G:$G,ROW()-7):INDEX('Seguimiento Semanal'!$G:$G,ROW()-4)))&lt;=ABS(AVERAGE(INDEX('Seguimiento Semanal'!$G:$G,ROW()-7):INDEX('Seguimiento Semanal'!$G:$G,ROW()-4)))*1%,"➡️ Estable",IF(F34&gt;AVERAGE(INDEX('Seguimiento Semanal'!$G:$G,ROW()-7):INDEX('Seguimiento Semanal'!$G:$G,ROW()-4)),"🔼 Subiendo","🔻 Bajando")),"N/A"))</f>
        <v>➡️ Estable</v>
      </c>
      <c r="H34" s="80">
        <f t="array" ref="H34">IFERROR(AVERAGE(INDEX('Seguimiento Semanal'!$I:$I,MAX(2,ROW()-3)):INDEX('Seguimiento Semanal'!$I:$I,ROW())),"")</f>
        <v>0</v>
      </c>
      <c r="I34" s="79" t="str">
        <f t="array" ref="I34">IF(ROW()&lt;9,"N/A",IFERROR(IF(ABS(H34-AVERAGE(INDEX('Seguimiento Semanal'!$I:$I,ROW()-7):INDEX('Seguimiento Semanal'!$I:$I,ROW()-4)))&lt;=ABS(AVERAGE(INDEX('Seguimiento Semanal'!$I:$I,ROW()-7):INDEX('Seguimiento Semanal'!$I:$I,ROW()-4)))*1%,"➡️ Estable",IF(H34&gt;AVERAGE(INDEX('Seguimiento Semanal'!$I:$I,ROW()-7):INDEX('Seguimiento Semanal'!$I:$I,ROW()-4)),"🔼 Subiendo","🔻 Bajando")),"N/A"))</f>
        <v>➡️ Estable</v>
      </c>
      <c r="J34" s="80">
        <f t="array" ref="J34">IFERROR(AVERAGE(INDEX('Seguimiento Semanal'!$K:$K,MAX(2,ROW()-3)):INDEX('Seguimiento Semanal'!$K:$K,ROW())),"")</f>
        <v>0</v>
      </c>
      <c r="K34" s="79" t="str">
        <f t="array" ref="K34">IF(ROW()&lt;9,"N/A",IFERROR(IF(ABS(J34-AVERAGE(INDEX('Seguimiento Semanal'!$K:$K,ROW()-7):INDEX('Seguimiento Semanal'!$K:$K,ROW()-4)))&lt;=ABS(AVERAGE(INDEX('Seguimiento Semanal'!$K:$K,ROW()-7):INDEX('Seguimiento Semanal'!$K:$K,ROW()-4)))*1%,"➡️ Estable",IF(J34&gt;AVERAGE(INDEX('Seguimiento Semanal'!$K:$K,ROW()-7):INDEX('Seguimiento Semanal'!$K:$K,ROW()-4)),"🔼 Subiendo","🔻 Bajando")),"N/A"))</f>
        <v>➡️ Estable</v>
      </c>
      <c r="L34" s="80">
        <f t="array" ref="L34">IFERROR(AVERAGE(INDEX('Seguimiento Semanal'!$M:$M,MAX(2,ROW()-3)):INDEX('Seguimiento Semanal'!$M:$M,ROW())),"")</f>
        <v>0</v>
      </c>
      <c r="M34" s="79" t="str">
        <f t="array" ref="M34">IF(ROW()&lt;9,"N/A",IFERROR(IF(ABS(L34-AVERAGE(INDEX('Seguimiento Semanal'!$M:$M,ROW()-7):INDEX('Seguimiento Semanal'!$M:$M,ROW()-4)))&lt;=ABS(AVERAGE(INDEX('Seguimiento Semanal'!$M:$M,ROW()-7):INDEX('Seguimiento Semanal'!$M:$M,ROW()-4)))*1%,"➡️ Estable",IF(L34&gt;AVERAGE(INDEX('Seguimiento Semanal'!$M:$M,ROW()-7):INDEX('Seguimiento Semanal'!$M:$M,ROW()-4)),"🔼 Subiendo","🔻 Bajando")),"N/A"))</f>
        <v>➡️ Estable</v>
      </c>
      <c r="N34" s="79">
        <f t="array" ref="N34">IFERROR(AVERAGE(INDEX('Seguimiento Semanal'!$N:$N,MAX(2,ROW()-3)):INDEX('Seguimiento Semanal'!$N:$N,ROW())),"")</f>
        <v>0</v>
      </c>
      <c r="O34" s="79" t="str">
        <f t="array" ref="O34">IF(ROW()&lt;9,"N/A",IFERROR(IF(ABS(N34-AVERAGE(INDEX('Seguimiento Semanal'!$N:$N,ROW()-7):INDEX('Seguimiento Semanal'!$N:$N,ROW()-4)))&lt;=ABS(AVERAGE(INDEX('Seguimiento Semanal'!$N:$N,ROW()-7):INDEX('Seguimiento Semanal'!$N:$N,ROW()-4)))*1%,"➡️ Estable",IF(N34&gt;AVERAGE(INDEX('Seguimiento Semanal'!$N:$N,ROW()-7):INDEX('Seguimiento Semanal'!$N:$N,ROW()-4)),"🔼 Subiendo","🔻 Bajando")),"N/A"))</f>
        <v>➡️ Estable</v>
      </c>
    </row>
    <row r="35" ht="15.75" customHeight="1">
      <c r="A35" s="79" t="str">
        <f>'Seguimiento Semanal'!A35</f>
        <v>Sem 34</v>
      </c>
      <c r="B35" s="79">
        <f t="array" ref="B35">IFERROR(AVERAGE(INDEX('Seguimiento Semanal'!$C:$C,MAX(2,ROW()-3)):INDEX('Seguimiento Semanal'!$C:$C,ROW())),"")</f>
        <v>0</v>
      </c>
      <c r="C35" s="79" t="str">
        <f t="array" ref="C35">IF(ROW()&lt;9,"N/A",IFERROR(IF(ABS(B35-AVERAGE(INDEX('Seguimiento Semanal'!$C:$C,ROW()-7):INDEX('Seguimiento Semanal'!$C:$C,ROW()-4)))&lt;=ABS(AVERAGE(INDEX('Seguimiento Semanal'!$C:$C,ROW()-7):INDEX('Seguimiento Semanal'!$C:$C,ROW()-4)))*1%,"➡️ Estable",IF(B35&gt;AVERAGE(INDEX('Seguimiento Semanal'!$C:$C,ROW()-7):INDEX('Seguimiento Semanal'!$C:$C,ROW()-4)),"🔼 Subiendo","🔻 Bajando")),"N/A"))</f>
        <v>➡️ Estable</v>
      </c>
      <c r="D35" s="80">
        <f t="array" ref="D35">IFERROR(AVERAGE(INDEX('Seguimiento Semanal'!$E:$E,MAX(2,ROW()-3)):INDEX('Seguimiento Semanal'!$E:$E,ROW())),"")</f>
        <v>0</v>
      </c>
      <c r="E35" s="79" t="str">
        <f t="array" ref="E35">IF(ROW()&lt;9,"N/A",IFERROR(IF(ABS(D35-AVERAGE(INDEX('Seguimiento Semanal'!$E:$E,ROW()-7):INDEX('Seguimiento Semanal'!$E:$E,ROW()-4)))&lt;=ABS(AVERAGE(INDEX('Seguimiento Semanal'!$E:$E,ROW()-7):INDEX('Seguimiento Semanal'!$E:$E,ROW()-4)))*1%,"➡️ Estable",IF(D35&gt;AVERAGE(INDEX('Seguimiento Semanal'!$E:$E,ROW()-7):INDEX('Seguimiento Semanal'!$E:$E,ROW()-4)),"🔼 Subiendo","🔻 Bajando")),"N/A"))</f>
        <v>➡️ Estable</v>
      </c>
      <c r="F35" s="80">
        <f t="array" ref="F35">IFERROR(AVERAGE(INDEX('Seguimiento Semanal'!$G:$G,MAX(2,ROW()-3)):INDEX('Seguimiento Semanal'!$G:$G,ROW())),"")</f>
        <v>0</v>
      </c>
      <c r="G35" s="79" t="str">
        <f t="array" ref="G35">IF(ROW()&lt;9,"N/A",IFERROR(IF(ABS(F35-AVERAGE(INDEX('Seguimiento Semanal'!$G:$G,ROW()-7):INDEX('Seguimiento Semanal'!$G:$G,ROW()-4)))&lt;=ABS(AVERAGE(INDEX('Seguimiento Semanal'!$G:$G,ROW()-7):INDEX('Seguimiento Semanal'!$G:$G,ROW()-4)))*1%,"➡️ Estable",IF(F35&gt;AVERAGE(INDEX('Seguimiento Semanal'!$G:$G,ROW()-7):INDEX('Seguimiento Semanal'!$G:$G,ROW()-4)),"🔼 Subiendo","🔻 Bajando")),"N/A"))</f>
        <v>➡️ Estable</v>
      </c>
      <c r="H35" s="80">
        <f t="array" ref="H35">IFERROR(AVERAGE(INDEX('Seguimiento Semanal'!$I:$I,MAX(2,ROW()-3)):INDEX('Seguimiento Semanal'!$I:$I,ROW())),"")</f>
        <v>0</v>
      </c>
      <c r="I35" s="79" t="str">
        <f t="array" ref="I35">IF(ROW()&lt;9,"N/A",IFERROR(IF(ABS(H35-AVERAGE(INDEX('Seguimiento Semanal'!$I:$I,ROW()-7):INDEX('Seguimiento Semanal'!$I:$I,ROW()-4)))&lt;=ABS(AVERAGE(INDEX('Seguimiento Semanal'!$I:$I,ROW()-7):INDEX('Seguimiento Semanal'!$I:$I,ROW()-4)))*1%,"➡️ Estable",IF(H35&gt;AVERAGE(INDEX('Seguimiento Semanal'!$I:$I,ROW()-7):INDEX('Seguimiento Semanal'!$I:$I,ROW()-4)),"🔼 Subiendo","🔻 Bajando")),"N/A"))</f>
        <v>➡️ Estable</v>
      </c>
      <c r="J35" s="80">
        <f t="array" ref="J35">IFERROR(AVERAGE(INDEX('Seguimiento Semanal'!$K:$K,MAX(2,ROW()-3)):INDEX('Seguimiento Semanal'!$K:$K,ROW())),"")</f>
        <v>0</v>
      </c>
      <c r="K35" s="79" t="str">
        <f t="array" ref="K35">IF(ROW()&lt;9,"N/A",IFERROR(IF(ABS(J35-AVERAGE(INDEX('Seguimiento Semanal'!$K:$K,ROW()-7):INDEX('Seguimiento Semanal'!$K:$K,ROW()-4)))&lt;=ABS(AVERAGE(INDEX('Seguimiento Semanal'!$K:$K,ROW()-7):INDEX('Seguimiento Semanal'!$K:$K,ROW()-4)))*1%,"➡️ Estable",IF(J35&gt;AVERAGE(INDEX('Seguimiento Semanal'!$K:$K,ROW()-7):INDEX('Seguimiento Semanal'!$K:$K,ROW()-4)),"🔼 Subiendo","🔻 Bajando")),"N/A"))</f>
        <v>➡️ Estable</v>
      </c>
      <c r="L35" s="80">
        <f t="array" ref="L35">IFERROR(AVERAGE(INDEX('Seguimiento Semanal'!$M:$M,MAX(2,ROW()-3)):INDEX('Seguimiento Semanal'!$M:$M,ROW())),"")</f>
        <v>0</v>
      </c>
      <c r="M35" s="79" t="str">
        <f t="array" ref="M35">IF(ROW()&lt;9,"N/A",IFERROR(IF(ABS(L35-AVERAGE(INDEX('Seguimiento Semanal'!$M:$M,ROW()-7):INDEX('Seguimiento Semanal'!$M:$M,ROW()-4)))&lt;=ABS(AVERAGE(INDEX('Seguimiento Semanal'!$M:$M,ROW()-7):INDEX('Seguimiento Semanal'!$M:$M,ROW()-4)))*1%,"➡️ Estable",IF(L35&gt;AVERAGE(INDEX('Seguimiento Semanal'!$M:$M,ROW()-7):INDEX('Seguimiento Semanal'!$M:$M,ROW()-4)),"🔼 Subiendo","🔻 Bajando")),"N/A"))</f>
        <v>➡️ Estable</v>
      </c>
      <c r="N35" s="79">
        <f t="array" ref="N35">IFERROR(AVERAGE(INDEX('Seguimiento Semanal'!$N:$N,MAX(2,ROW()-3)):INDEX('Seguimiento Semanal'!$N:$N,ROW())),"")</f>
        <v>0</v>
      </c>
      <c r="O35" s="79" t="str">
        <f t="array" ref="O35">IF(ROW()&lt;9,"N/A",IFERROR(IF(ABS(N35-AVERAGE(INDEX('Seguimiento Semanal'!$N:$N,ROW()-7):INDEX('Seguimiento Semanal'!$N:$N,ROW()-4)))&lt;=ABS(AVERAGE(INDEX('Seguimiento Semanal'!$N:$N,ROW()-7):INDEX('Seguimiento Semanal'!$N:$N,ROW()-4)))*1%,"➡️ Estable",IF(N35&gt;AVERAGE(INDEX('Seguimiento Semanal'!$N:$N,ROW()-7):INDEX('Seguimiento Semanal'!$N:$N,ROW()-4)),"🔼 Subiendo","🔻 Bajando")),"N/A"))</f>
        <v>➡️ Estable</v>
      </c>
    </row>
    <row r="36" ht="15.75" customHeight="1">
      <c r="A36" s="79" t="str">
        <f>'Seguimiento Semanal'!A36</f>
        <v>Sem 35</v>
      </c>
      <c r="B36" s="79">
        <f t="array" ref="B36">IFERROR(AVERAGE(INDEX('Seguimiento Semanal'!$C:$C,MAX(2,ROW()-3)):INDEX('Seguimiento Semanal'!$C:$C,ROW())),"")</f>
        <v>0</v>
      </c>
      <c r="C36" s="79" t="str">
        <f t="array" ref="C36">IF(ROW()&lt;9,"N/A",IFERROR(IF(ABS(B36-AVERAGE(INDEX('Seguimiento Semanal'!$C:$C,ROW()-7):INDEX('Seguimiento Semanal'!$C:$C,ROW()-4)))&lt;=ABS(AVERAGE(INDEX('Seguimiento Semanal'!$C:$C,ROW()-7):INDEX('Seguimiento Semanal'!$C:$C,ROW()-4)))*1%,"➡️ Estable",IF(B36&gt;AVERAGE(INDEX('Seguimiento Semanal'!$C:$C,ROW()-7):INDEX('Seguimiento Semanal'!$C:$C,ROW()-4)),"🔼 Subiendo","🔻 Bajando")),"N/A"))</f>
        <v>➡️ Estable</v>
      </c>
      <c r="D36" s="80">
        <f t="array" ref="D36">IFERROR(AVERAGE(INDEX('Seguimiento Semanal'!$E:$E,MAX(2,ROW()-3)):INDEX('Seguimiento Semanal'!$E:$E,ROW())),"")</f>
        <v>0</v>
      </c>
      <c r="E36" s="79" t="str">
        <f t="array" ref="E36">IF(ROW()&lt;9,"N/A",IFERROR(IF(ABS(D36-AVERAGE(INDEX('Seguimiento Semanal'!$E:$E,ROW()-7):INDEX('Seguimiento Semanal'!$E:$E,ROW()-4)))&lt;=ABS(AVERAGE(INDEX('Seguimiento Semanal'!$E:$E,ROW()-7):INDEX('Seguimiento Semanal'!$E:$E,ROW()-4)))*1%,"➡️ Estable",IF(D36&gt;AVERAGE(INDEX('Seguimiento Semanal'!$E:$E,ROW()-7):INDEX('Seguimiento Semanal'!$E:$E,ROW()-4)),"🔼 Subiendo","🔻 Bajando")),"N/A"))</f>
        <v>➡️ Estable</v>
      </c>
      <c r="F36" s="80">
        <f t="array" ref="F36">IFERROR(AVERAGE(INDEX('Seguimiento Semanal'!$G:$G,MAX(2,ROW()-3)):INDEX('Seguimiento Semanal'!$G:$G,ROW())),"")</f>
        <v>0</v>
      </c>
      <c r="G36" s="79" t="str">
        <f t="array" ref="G36">IF(ROW()&lt;9,"N/A",IFERROR(IF(ABS(F36-AVERAGE(INDEX('Seguimiento Semanal'!$G:$G,ROW()-7):INDEX('Seguimiento Semanal'!$G:$G,ROW()-4)))&lt;=ABS(AVERAGE(INDEX('Seguimiento Semanal'!$G:$G,ROW()-7):INDEX('Seguimiento Semanal'!$G:$G,ROW()-4)))*1%,"➡️ Estable",IF(F36&gt;AVERAGE(INDEX('Seguimiento Semanal'!$G:$G,ROW()-7):INDEX('Seguimiento Semanal'!$G:$G,ROW()-4)),"🔼 Subiendo","🔻 Bajando")),"N/A"))</f>
        <v>➡️ Estable</v>
      </c>
      <c r="H36" s="80">
        <f t="array" ref="H36">IFERROR(AVERAGE(INDEX('Seguimiento Semanal'!$I:$I,MAX(2,ROW()-3)):INDEX('Seguimiento Semanal'!$I:$I,ROW())),"")</f>
        <v>0</v>
      </c>
      <c r="I36" s="79" t="str">
        <f t="array" ref="I36">IF(ROW()&lt;9,"N/A",IFERROR(IF(ABS(H36-AVERAGE(INDEX('Seguimiento Semanal'!$I:$I,ROW()-7):INDEX('Seguimiento Semanal'!$I:$I,ROW()-4)))&lt;=ABS(AVERAGE(INDEX('Seguimiento Semanal'!$I:$I,ROW()-7):INDEX('Seguimiento Semanal'!$I:$I,ROW()-4)))*1%,"➡️ Estable",IF(H36&gt;AVERAGE(INDEX('Seguimiento Semanal'!$I:$I,ROW()-7):INDEX('Seguimiento Semanal'!$I:$I,ROW()-4)),"🔼 Subiendo","🔻 Bajando")),"N/A"))</f>
        <v>➡️ Estable</v>
      </c>
      <c r="J36" s="80">
        <f t="array" ref="J36">IFERROR(AVERAGE(INDEX('Seguimiento Semanal'!$K:$K,MAX(2,ROW()-3)):INDEX('Seguimiento Semanal'!$K:$K,ROW())),"")</f>
        <v>0</v>
      </c>
      <c r="K36" s="79" t="str">
        <f t="array" ref="K36">IF(ROW()&lt;9,"N/A",IFERROR(IF(ABS(J36-AVERAGE(INDEX('Seguimiento Semanal'!$K:$K,ROW()-7):INDEX('Seguimiento Semanal'!$K:$K,ROW()-4)))&lt;=ABS(AVERAGE(INDEX('Seguimiento Semanal'!$K:$K,ROW()-7):INDEX('Seguimiento Semanal'!$K:$K,ROW()-4)))*1%,"➡️ Estable",IF(J36&gt;AVERAGE(INDEX('Seguimiento Semanal'!$K:$K,ROW()-7):INDEX('Seguimiento Semanal'!$K:$K,ROW()-4)),"🔼 Subiendo","🔻 Bajando")),"N/A"))</f>
        <v>➡️ Estable</v>
      </c>
      <c r="L36" s="80">
        <f t="array" ref="L36">IFERROR(AVERAGE(INDEX('Seguimiento Semanal'!$M:$M,MAX(2,ROW()-3)):INDEX('Seguimiento Semanal'!$M:$M,ROW())),"")</f>
        <v>0</v>
      </c>
      <c r="M36" s="79" t="str">
        <f t="array" ref="M36">IF(ROW()&lt;9,"N/A",IFERROR(IF(ABS(L36-AVERAGE(INDEX('Seguimiento Semanal'!$M:$M,ROW()-7):INDEX('Seguimiento Semanal'!$M:$M,ROW()-4)))&lt;=ABS(AVERAGE(INDEX('Seguimiento Semanal'!$M:$M,ROW()-7):INDEX('Seguimiento Semanal'!$M:$M,ROW()-4)))*1%,"➡️ Estable",IF(L36&gt;AVERAGE(INDEX('Seguimiento Semanal'!$M:$M,ROW()-7):INDEX('Seguimiento Semanal'!$M:$M,ROW()-4)),"🔼 Subiendo","🔻 Bajando")),"N/A"))</f>
        <v>➡️ Estable</v>
      </c>
      <c r="N36" s="79">
        <f t="array" ref="N36">IFERROR(AVERAGE(INDEX('Seguimiento Semanal'!$N:$N,MAX(2,ROW()-3)):INDEX('Seguimiento Semanal'!$N:$N,ROW())),"")</f>
        <v>0</v>
      </c>
      <c r="O36" s="79" t="str">
        <f t="array" ref="O36">IF(ROW()&lt;9,"N/A",IFERROR(IF(ABS(N36-AVERAGE(INDEX('Seguimiento Semanal'!$N:$N,ROW()-7):INDEX('Seguimiento Semanal'!$N:$N,ROW()-4)))&lt;=ABS(AVERAGE(INDEX('Seguimiento Semanal'!$N:$N,ROW()-7):INDEX('Seguimiento Semanal'!$N:$N,ROW()-4)))*1%,"➡️ Estable",IF(N36&gt;AVERAGE(INDEX('Seguimiento Semanal'!$N:$N,ROW()-7):INDEX('Seguimiento Semanal'!$N:$N,ROW()-4)),"🔼 Subiendo","🔻 Bajando")),"N/A"))</f>
        <v>➡️ Estable</v>
      </c>
    </row>
    <row r="37" ht="15.75" customHeight="1">
      <c r="A37" s="79" t="str">
        <f>'Seguimiento Semanal'!A37</f>
        <v>Sem 36</v>
      </c>
      <c r="B37" s="79">
        <f t="array" ref="B37">IFERROR(AVERAGE(INDEX('Seguimiento Semanal'!$C:$C,MAX(2,ROW()-3)):INDEX('Seguimiento Semanal'!$C:$C,ROW())),"")</f>
        <v>0</v>
      </c>
      <c r="C37" s="79" t="str">
        <f t="array" ref="C37">IF(ROW()&lt;9,"N/A",IFERROR(IF(ABS(B37-AVERAGE(INDEX('Seguimiento Semanal'!$C:$C,ROW()-7):INDEX('Seguimiento Semanal'!$C:$C,ROW()-4)))&lt;=ABS(AVERAGE(INDEX('Seguimiento Semanal'!$C:$C,ROW()-7):INDEX('Seguimiento Semanal'!$C:$C,ROW()-4)))*1%,"➡️ Estable",IF(B37&gt;AVERAGE(INDEX('Seguimiento Semanal'!$C:$C,ROW()-7):INDEX('Seguimiento Semanal'!$C:$C,ROW()-4)),"🔼 Subiendo","🔻 Bajando")),"N/A"))</f>
        <v>➡️ Estable</v>
      </c>
      <c r="D37" s="80">
        <f t="array" ref="D37">IFERROR(AVERAGE(INDEX('Seguimiento Semanal'!$E:$E,MAX(2,ROW()-3)):INDEX('Seguimiento Semanal'!$E:$E,ROW())),"")</f>
        <v>0</v>
      </c>
      <c r="E37" s="79" t="str">
        <f t="array" ref="E37">IF(ROW()&lt;9,"N/A",IFERROR(IF(ABS(D37-AVERAGE(INDEX('Seguimiento Semanal'!$E:$E,ROW()-7):INDEX('Seguimiento Semanal'!$E:$E,ROW()-4)))&lt;=ABS(AVERAGE(INDEX('Seguimiento Semanal'!$E:$E,ROW()-7):INDEX('Seguimiento Semanal'!$E:$E,ROW()-4)))*1%,"➡️ Estable",IF(D37&gt;AVERAGE(INDEX('Seguimiento Semanal'!$E:$E,ROW()-7):INDEX('Seguimiento Semanal'!$E:$E,ROW()-4)),"🔼 Subiendo","🔻 Bajando")),"N/A"))</f>
        <v>➡️ Estable</v>
      </c>
      <c r="F37" s="80">
        <f t="array" ref="F37">IFERROR(AVERAGE(INDEX('Seguimiento Semanal'!$G:$G,MAX(2,ROW()-3)):INDEX('Seguimiento Semanal'!$G:$G,ROW())),"")</f>
        <v>0</v>
      </c>
      <c r="G37" s="79" t="str">
        <f t="array" ref="G37">IF(ROW()&lt;9,"N/A",IFERROR(IF(ABS(F37-AVERAGE(INDEX('Seguimiento Semanal'!$G:$G,ROW()-7):INDEX('Seguimiento Semanal'!$G:$G,ROW()-4)))&lt;=ABS(AVERAGE(INDEX('Seguimiento Semanal'!$G:$G,ROW()-7):INDEX('Seguimiento Semanal'!$G:$G,ROW()-4)))*1%,"➡️ Estable",IF(F37&gt;AVERAGE(INDEX('Seguimiento Semanal'!$G:$G,ROW()-7):INDEX('Seguimiento Semanal'!$G:$G,ROW()-4)),"🔼 Subiendo","🔻 Bajando")),"N/A"))</f>
        <v>➡️ Estable</v>
      </c>
      <c r="H37" s="80">
        <f t="array" ref="H37">IFERROR(AVERAGE(INDEX('Seguimiento Semanal'!$I:$I,MAX(2,ROW()-3)):INDEX('Seguimiento Semanal'!$I:$I,ROW())),"")</f>
        <v>0</v>
      </c>
      <c r="I37" s="79" t="str">
        <f t="array" ref="I37">IF(ROW()&lt;9,"N/A",IFERROR(IF(ABS(H37-AVERAGE(INDEX('Seguimiento Semanal'!$I:$I,ROW()-7):INDEX('Seguimiento Semanal'!$I:$I,ROW()-4)))&lt;=ABS(AVERAGE(INDEX('Seguimiento Semanal'!$I:$I,ROW()-7):INDEX('Seguimiento Semanal'!$I:$I,ROW()-4)))*1%,"➡️ Estable",IF(H37&gt;AVERAGE(INDEX('Seguimiento Semanal'!$I:$I,ROW()-7):INDEX('Seguimiento Semanal'!$I:$I,ROW()-4)),"🔼 Subiendo","🔻 Bajando")),"N/A"))</f>
        <v>➡️ Estable</v>
      </c>
      <c r="J37" s="80">
        <f t="array" ref="J37">IFERROR(AVERAGE(INDEX('Seguimiento Semanal'!$K:$K,MAX(2,ROW()-3)):INDEX('Seguimiento Semanal'!$K:$K,ROW())),"")</f>
        <v>0</v>
      </c>
      <c r="K37" s="79" t="str">
        <f t="array" ref="K37">IF(ROW()&lt;9,"N/A",IFERROR(IF(ABS(J37-AVERAGE(INDEX('Seguimiento Semanal'!$K:$K,ROW()-7):INDEX('Seguimiento Semanal'!$K:$K,ROW()-4)))&lt;=ABS(AVERAGE(INDEX('Seguimiento Semanal'!$K:$K,ROW()-7):INDEX('Seguimiento Semanal'!$K:$K,ROW()-4)))*1%,"➡️ Estable",IF(J37&gt;AVERAGE(INDEX('Seguimiento Semanal'!$K:$K,ROW()-7):INDEX('Seguimiento Semanal'!$K:$K,ROW()-4)),"🔼 Subiendo","🔻 Bajando")),"N/A"))</f>
        <v>➡️ Estable</v>
      </c>
      <c r="L37" s="80">
        <f t="array" ref="L37">IFERROR(AVERAGE(INDEX('Seguimiento Semanal'!$M:$M,MAX(2,ROW()-3)):INDEX('Seguimiento Semanal'!$M:$M,ROW())),"")</f>
        <v>0</v>
      </c>
      <c r="M37" s="79" t="str">
        <f t="array" ref="M37">IF(ROW()&lt;9,"N/A",IFERROR(IF(ABS(L37-AVERAGE(INDEX('Seguimiento Semanal'!$M:$M,ROW()-7):INDEX('Seguimiento Semanal'!$M:$M,ROW()-4)))&lt;=ABS(AVERAGE(INDEX('Seguimiento Semanal'!$M:$M,ROW()-7):INDEX('Seguimiento Semanal'!$M:$M,ROW()-4)))*1%,"➡️ Estable",IF(L37&gt;AVERAGE(INDEX('Seguimiento Semanal'!$M:$M,ROW()-7):INDEX('Seguimiento Semanal'!$M:$M,ROW()-4)),"🔼 Subiendo","🔻 Bajando")),"N/A"))</f>
        <v>➡️ Estable</v>
      </c>
      <c r="N37" s="79">
        <f t="array" ref="N37">IFERROR(AVERAGE(INDEX('Seguimiento Semanal'!$N:$N,MAX(2,ROW()-3)):INDEX('Seguimiento Semanal'!$N:$N,ROW())),"")</f>
        <v>0</v>
      </c>
      <c r="O37" s="79" t="str">
        <f t="array" ref="O37">IF(ROW()&lt;9,"N/A",IFERROR(IF(ABS(N37-AVERAGE(INDEX('Seguimiento Semanal'!$N:$N,ROW()-7):INDEX('Seguimiento Semanal'!$N:$N,ROW()-4)))&lt;=ABS(AVERAGE(INDEX('Seguimiento Semanal'!$N:$N,ROW()-7):INDEX('Seguimiento Semanal'!$N:$N,ROW()-4)))*1%,"➡️ Estable",IF(N37&gt;AVERAGE(INDEX('Seguimiento Semanal'!$N:$N,ROW()-7):INDEX('Seguimiento Semanal'!$N:$N,ROW()-4)),"🔼 Subiendo","🔻 Bajando")),"N/A"))</f>
        <v>➡️ Estable</v>
      </c>
    </row>
    <row r="38" ht="15.75" customHeight="1">
      <c r="A38" s="79" t="str">
        <f>'Seguimiento Semanal'!A38</f>
        <v>Sem 37</v>
      </c>
      <c r="B38" s="79">
        <f t="array" ref="B38">IFERROR(AVERAGE(INDEX('Seguimiento Semanal'!$C:$C,MAX(2,ROW()-3)):INDEX('Seguimiento Semanal'!$C:$C,ROW())),"")</f>
        <v>0</v>
      </c>
      <c r="C38" s="79" t="str">
        <f t="array" ref="C38">IF(ROW()&lt;9,"N/A",IFERROR(IF(ABS(B38-AVERAGE(INDEX('Seguimiento Semanal'!$C:$C,ROW()-7):INDEX('Seguimiento Semanal'!$C:$C,ROW()-4)))&lt;=ABS(AVERAGE(INDEX('Seguimiento Semanal'!$C:$C,ROW()-7):INDEX('Seguimiento Semanal'!$C:$C,ROW()-4)))*1%,"➡️ Estable",IF(B38&gt;AVERAGE(INDEX('Seguimiento Semanal'!$C:$C,ROW()-7):INDEX('Seguimiento Semanal'!$C:$C,ROW()-4)),"🔼 Subiendo","🔻 Bajando")),"N/A"))</f>
        <v>➡️ Estable</v>
      </c>
      <c r="D38" s="80">
        <f t="array" ref="D38">IFERROR(AVERAGE(INDEX('Seguimiento Semanal'!$E:$E,MAX(2,ROW()-3)):INDEX('Seguimiento Semanal'!$E:$E,ROW())),"")</f>
        <v>0</v>
      </c>
      <c r="E38" s="79" t="str">
        <f t="array" ref="E38">IF(ROW()&lt;9,"N/A",IFERROR(IF(ABS(D38-AVERAGE(INDEX('Seguimiento Semanal'!$E:$E,ROW()-7):INDEX('Seguimiento Semanal'!$E:$E,ROW()-4)))&lt;=ABS(AVERAGE(INDEX('Seguimiento Semanal'!$E:$E,ROW()-7):INDEX('Seguimiento Semanal'!$E:$E,ROW()-4)))*1%,"➡️ Estable",IF(D38&gt;AVERAGE(INDEX('Seguimiento Semanal'!$E:$E,ROW()-7):INDEX('Seguimiento Semanal'!$E:$E,ROW()-4)),"🔼 Subiendo","🔻 Bajando")),"N/A"))</f>
        <v>➡️ Estable</v>
      </c>
      <c r="F38" s="80">
        <f t="array" ref="F38">IFERROR(AVERAGE(INDEX('Seguimiento Semanal'!$G:$G,MAX(2,ROW()-3)):INDEX('Seguimiento Semanal'!$G:$G,ROW())),"")</f>
        <v>0</v>
      </c>
      <c r="G38" s="79" t="str">
        <f t="array" ref="G38">IF(ROW()&lt;9,"N/A",IFERROR(IF(ABS(F38-AVERAGE(INDEX('Seguimiento Semanal'!$G:$G,ROW()-7):INDEX('Seguimiento Semanal'!$G:$G,ROW()-4)))&lt;=ABS(AVERAGE(INDEX('Seguimiento Semanal'!$G:$G,ROW()-7):INDEX('Seguimiento Semanal'!$G:$G,ROW()-4)))*1%,"➡️ Estable",IF(F38&gt;AVERAGE(INDEX('Seguimiento Semanal'!$G:$G,ROW()-7):INDEX('Seguimiento Semanal'!$G:$G,ROW()-4)),"🔼 Subiendo","🔻 Bajando")),"N/A"))</f>
        <v>➡️ Estable</v>
      </c>
      <c r="H38" s="80">
        <f t="array" ref="H38">IFERROR(AVERAGE(INDEX('Seguimiento Semanal'!$I:$I,MAX(2,ROW()-3)):INDEX('Seguimiento Semanal'!$I:$I,ROW())),"")</f>
        <v>0</v>
      </c>
      <c r="I38" s="79" t="str">
        <f t="array" ref="I38">IF(ROW()&lt;9,"N/A",IFERROR(IF(ABS(H38-AVERAGE(INDEX('Seguimiento Semanal'!$I:$I,ROW()-7):INDEX('Seguimiento Semanal'!$I:$I,ROW()-4)))&lt;=ABS(AVERAGE(INDEX('Seguimiento Semanal'!$I:$I,ROW()-7):INDEX('Seguimiento Semanal'!$I:$I,ROW()-4)))*1%,"➡️ Estable",IF(H38&gt;AVERAGE(INDEX('Seguimiento Semanal'!$I:$I,ROW()-7):INDEX('Seguimiento Semanal'!$I:$I,ROW()-4)),"🔼 Subiendo","🔻 Bajando")),"N/A"))</f>
        <v>➡️ Estable</v>
      </c>
      <c r="J38" s="80">
        <f t="array" ref="J38">IFERROR(AVERAGE(INDEX('Seguimiento Semanal'!$K:$K,MAX(2,ROW()-3)):INDEX('Seguimiento Semanal'!$K:$K,ROW())),"")</f>
        <v>0</v>
      </c>
      <c r="K38" s="79" t="str">
        <f t="array" ref="K38">IF(ROW()&lt;9,"N/A",IFERROR(IF(ABS(J38-AVERAGE(INDEX('Seguimiento Semanal'!$K:$K,ROW()-7):INDEX('Seguimiento Semanal'!$K:$K,ROW()-4)))&lt;=ABS(AVERAGE(INDEX('Seguimiento Semanal'!$K:$K,ROW()-7):INDEX('Seguimiento Semanal'!$K:$K,ROW()-4)))*1%,"➡️ Estable",IF(J38&gt;AVERAGE(INDEX('Seguimiento Semanal'!$K:$K,ROW()-7):INDEX('Seguimiento Semanal'!$K:$K,ROW()-4)),"🔼 Subiendo","🔻 Bajando")),"N/A"))</f>
        <v>➡️ Estable</v>
      </c>
      <c r="L38" s="80">
        <f t="array" ref="L38">IFERROR(AVERAGE(INDEX('Seguimiento Semanal'!$M:$M,MAX(2,ROW()-3)):INDEX('Seguimiento Semanal'!$M:$M,ROW())),"")</f>
        <v>0</v>
      </c>
      <c r="M38" s="79" t="str">
        <f t="array" ref="M38">IF(ROW()&lt;9,"N/A",IFERROR(IF(ABS(L38-AVERAGE(INDEX('Seguimiento Semanal'!$M:$M,ROW()-7):INDEX('Seguimiento Semanal'!$M:$M,ROW()-4)))&lt;=ABS(AVERAGE(INDEX('Seguimiento Semanal'!$M:$M,ROW()-7):INDEX('Seguimiento Semanal'!$M:$M,ROW()-4)))*1%,"➡️ Estable",IF(L38&gt;AVERAGE(INDEX('Seguimiento Semanal'!$M:$M,ROW()-7):INDEX('Seguimiento Semanal'!$M:$M,ROW()-4)),"🔼 Subiendo","🔻 Bajando")),"N/A"))</f>
        <v>➡️ Estable</v>
      </c>
      <c r="N38" s="79">
        <f t="array" ref="N38">IFERROR(AVERAGE(INDEX('Seguimiento Semanal'!$N:$N,MAX(2,ROW()-3)):INDEX('Seguimiento Semanal'!$N:$N,ROW())),"")</f>
        <v>0</v>
      </c>
      <c r="O38" s="79" t="str">
        <f t="array" ref="O38">IF(ROW()&lt;9,"N/A",IFERROR(IF(ABS(N38-AVERAGE(INDEX('Seguimiento Semanal'!$N:$N,ROW()-7):INDEX('Seguimiento Semanal'!$N:$N,ROW()-4)))&lt;=ABS(AVERAGE(INDEX('Seguimiento Semanal'!$N:$N,ROW()-7):INDEX('Seguimiento Semanal'!$N:$N,ROW()-4)))*1%,"➡️ Estable",IF(N38&gt;AVERAGE(INDEX('Seguimiento Semanal'!$N:$N,ROW()-7):INDEX('Seguimiento Semanal'!$N:$N,ROW()-4)),"🔼 Subiendo","🔻 Bajando")),"N/A"))</f>
        <v>➡️ Estable</v>
      </c>
    </row>
    <row r="39" ht="15.75" customHeight="1">
      <c r="A39" s="79" t="str">
        <f>'Seguimiento Semanal'!A39</f>
        <v>Sem 38</v>
      </c>
      <c r="B39" s="79">
        <f t="array" ref="B39">IFERROR(AVERAGE(INDEX('Seguimiento Semanal'!$C:$C,MAX(2,ROW()-3)):INDEX('Seguimiento Semanal'!$C:$C,ROW())),"")</f>
        <v>0</v>
      </c>
      <c r="C39" s="79" t="str">
        <f t="array" ref="C39">IF(ROW()&lt;9,"N/A",IFERROR(IF(ABS(B39-AVERAGE(INDEX('Seguimiento Semanal'!$C:$C,ROW()-7):INDEX('Seguimiento Semanal'!$C:$C,ROW()-4)))&lt;=ABS(AVERAGE(INDEX('Seguimiento Semanal'!$C:$C,ROW()-7):INDEX('Seguimiento Semanal'!$C:$C,ROW()-4)))*1%,"➡️ Estable",IF(B39&gt;AVERAGE(INDEX('Seguimiento Semanal'!$C:$C,ROW()-7):INDEX('Seguimiento Semanal'!$C:$C,ROW()-4)),"🔼 Subiendo","🔻 Bajando")),"N/A"))</f>
        <v>➡️ Estable</v>
      </c>
      <c r="D39" s="80">
        <f t="array" ref="D39">IFERROR(AVERAGE(INDEX('Seguimiento Semanal'!$E:$E,MAX(2,ROW()-3)):INDEX('Seguimiento Semanal'!$E:$E,ROW())),"")</f>
        <v>0</v>
      </c>
      <c r="E39" s="79" t="str">
        <f t="array" ref="E39">IF(ROW()&lt;9,"N/A",IFERROR(IF(ABS(D39-AVERAGE(INDEX('Seguimiento Semanal'!$E:$E,ROW()-7):INDEX('Seguimiento Semanal'!$E:$E,ROW()-4)))&lt;=ABS(AVERAGE(INDEX('Seguimiento Semanal'!$E:$E,ROW()-7):INDEX('Seguimiento Semanal'!$E:$E,ROW()-4)))*1%,"➡️ Estable",IF(D39&gt;AVERAGE(INDEX('Seguimiento Semanal'!$E:$E,ROW()-7):INDEX('Seguimiento Semanal'!$E:$E,ROW()-4)),"🔼 Subiendo","🔻 Bajando")),"N/A"))</f>
        <v>➡️ Estable</v>
      </c>
      <c r="F39" s="80">
        <f t="array" ref="F39">IFERROR(AVERAGE(INDEX('Seguimiento Semanal'!$G:$G,MAX(2,ROW()-3)):INDEX('Seguimiento Semanal'!$G:$G,ROW())),"")</f>
        <v>0</v>
      </c>
      <c r="G39" s="79" t="str">
        <f t="array" ref="G39">IF(ROW()&lt;9,"N/A",IFERROR(IF(ABS(F39-AVERAGE(INDEX('Seguimiento Semanal'!$G:$G,ROW()-7):INDEX('Seguimiento Semanal'!$G:$G,ROW()-4)))&lt;=ABS(AVERAGE(INDEX('Seguimiento Semanal'!$G:$G,ROW()-7):INDEX('Seguimiento Semanal'!$G:$G,ROW()-4)))*1%,"➡️ Estable",IF(F39&gt;AVERAGE(INDEX('Seguimiento Semanal'!$G:$G,ROW()-7):INDEX('Seguimiento Semanal'!$G:$G,ROW()-4)),"🔼 Subiendo","🔻 Bajando")),"N/A"))</f>
        <v>➡️ Estable</v>
      </c>
      <c r="H39" s="80">
        <f t="array" ref="H39">IFERROR(AVERAGE(INDEX('Seguimiento Semanal'!$I:$I,MAX(2,ROW()-3)):INDEX('Seguimiento Semanal'!$I:$I,ROW())),"")</f>
        <v>0</v>
      </c>
      <c r="I39" s="79" t="str">
        <f t="array" ref="I39">IF(ROW()&lt;9,"N/A",IFERROR(IF(ABS(H39-AVERAGE(INDEX('Seguimiento Semanal'!$I:$I,ROW()-7):INDEX('Seguimiento Semanal'!$I:$I,ROW()-4)))&lt;=ABS(AVERAGE(INDEX('Seguimiento Semanal'!$I:$I,ROW()-7):INDEX('Seguimiento Semanal'!$I:$I,ROW()-4)))*1%,"➡️ Estable",IF(H39&gt;AVERAGE(INDEX('Seguimiento Semanal'!$I:$I,ROW()-7):INDEX('Seguimiento Semanal'!$I:$I,ROW()-4)),"🔼 Subiendo","🔻 Bajando")),"N/A"))</f>
        <v>➡️ Estable</v>
      </c>
      <c r="J39" s="80">
        <f t="array" ref="J39">IFERROR(AVERAGE(INDEX('Seguimiento Semanal'!$K:$K,MAX(2,ROW()-3)):INDEX('Seguimiento Semanal'!$K:$K,ROW())),"")</f>
        <v>0</v>
      </c>
      <c r="K39" s="79" t="str">
        <f t="array" ref="K39">IF(ROW()&lt;9,"N/A",IFERROR(IF(ABS(J39-AVERAGE(INDEX('Seguimiento Semanal'!$K:$K,ROW()-7):INDEX('Seguimiento Semanal'!$K:$K,ROW()-4)))&lt;=ABS(AVERAGE(INDEX('Seguimiento Semanal'!$K:$K,ROW()-7):INDEX('Seguimiento Semanal'!$K:$K,ROW()-4)))*1%,"➡️ Estable",IF(J39&gt;AVERAGE(INDEX('Seguimiento Semanal'!$K:$K,ROW()-7):INDEX('Seguimiento Semanal'!$K:$K,ROW()-4)),"🔼 Subiendo","🔻 Bajando")),"N/A"))</f>
        <v>➡️ Estable</v>
      </c>
      <c r="L39" s="80">
        <f t="array" ref="L39">IFERROR(AVERAGE(INDEX('Seguimiento Semanal'!$M:$M,MAX(2,ROW()-3)):INDEX('Seguimiento Semanal'!$M:$M,ROW())),"")</f>
        <v>0</v>
      </c>
      <c r="M39" s="79" t="str">
        <f t="array" ref="M39">IF(ROW()&lt;9,"N/A",IFERROR(IF(ABS(L39-AVERAGE(INDEX('Seguimiento Semanal'!$M:$M,ROW()-7):INDEX('Seguimiento Semanal'!$M:$M,ROW()-4)))&lt;=ABS(AVERAGE(INDEX('Seguimiento Semanal'!$M:$M,ROW()-7):INDEX('Seguimiento Semanal'!$M:$M,ROW()-4)))*1%,"➡️ Estable",IF(L39&gt;AVERAGE(INDEX('Seguimiento Semanal'!$M:$M,ROW()-7):INDEX('Seguimiento Semanal'!$M:$M,ROW()-4)),"🔼 Subiendo","🔻 Bajando")),"N/A"))</f>
        <v>➡️ Estable</v>
      </c>
      <c r="N39" s="79">
        <f t="array" ref="N39">IFERROR(AVERAGE(INDEX('Seguimiento Semanal'!$N:$N,MAX(2,ROW()-3)):INDEX('Seguimiento Semanal'!$N:$N,ROW())),"")</f>
        <v>0</v>
      </c>
      <c r="O39" s="79" t="str">
        <f t="array" ref="O39">IF(ROW()&lt;9,"N/A",IFERROR(IF(ABS(N39-AVERAGE(INDEX('Seguimiento Semanal'!$N:$N,ROW()-7):INDEX('Seguimiento Semanal'!$N:$N,ROW()-4)))&lt;=ABS(AVERAGE(INDEX('Seguimiento Semanal'!$N:$N,ROW()-7):INDEX('Seguimiento Semanal'!$N:$N,ROW()-4)))*1%,"➡️ Estable",IF(N39&gt;AVERAGE(INDEX('Seguimiento Semanal'!$N:$N,ROW()-7):INDEX('Seguimiento Semanal'!$N:$N,ROW()-4)),"🔼 Subiendo","🔻 Bajando")),"N/A"))</f>
        <v>➡️ Estable</v>
      </c>
    </row>
    <row r="40" ht="15.75" customHeight="1">
      <c r="A40" s="79" t="str">
        <f>'Seguimiento Semanal'!A40</f>
        <v>Sem 39</v>
      </c>
      <c r="B40" s="79">
        <f t="array" ref="B40">IFERROR(AVERAGE(INDEX('Seguimiento Semanal'!$C:$C,MAX(2,ROW()-3)):INDEX('Seguimiento Semanal'!$C:$C,ROW())),"")</f>
        <v>0</v>
      </c>
      <c r="C40" s="79" t="str">
        <f t="array" ref="C40">IF(ROW()&lt;9,"N/A",IFERROR(IF(ABS(B40-AVERAGE(INDEX('Seguimiento Semanal'!$C:$C,ROW()-7):INDEX('Seguimiento Semanal'!$C:$C,ROW()-4)))&lt;=ABS(AVERAGE(INDEX('Seguimiento Semanal'!$C:$C,ROW()-7):INDEX('Seguimiento Semanal'!$C:$C,ROW()-4)))*1%,"➡️ Estable",IF(B40&gt;AVERAGE(INDEX('Seguimiento Semanal'!$C:$C,ROW()-7):INDEX('Seguimiento Semanal'!$C:$C,ROW()-4)),"🔼 Subiendo","🔻 Bajando")),"N/A"))</f>
        <v>➡️ Estable</v>
      </c>
      <c r="D40" s="80">
        <f t="array" ref="D40">IFERROR(AVERAGE(INDEX('Seguimiento Semanal'!$E:$E,MAX(2,ROW()-3)):INDEX('Seguimiento Semanal'!$E:$E,ROW())),"")</f>
        <v>0</v>
      </c>
      <c r="E40" s="79" t="str">
        <f t="array" ref="E40">IF(ROW()&lt;9,"N/A",IFERROR(IF(ABS(D40-AVERAGE(INDEX('Seguimiento Semanal'!$E:$E,ROW()-7):INDEX('Seguimiento Semanal'!$E:$E,ROW()-4)))&lt;=ABS(AVERAGE(INDEX('Seguimiento Semanal'!$E:$E,ROW()-7):INDEX('Seguimiento Semanal'!$E:$E,ROW()-4)))*1%,"➡️ Estable",IF(D40&gt;AVERAGE(INDEX('Seguimiento Semanal'!$E:$E,ROW()-7):INDEX('Seguimiento Semanal'!$E:$E,ROW()-4)),"🔼 Subiendo","🔻 Bajando")),"N/A"))</f>
        <v>➡️ Estable</v>
      </c>
      <c r="F40" s="80">
        <f t="array" ref="F40">IFERROR(AVERAGE(INDEX('Seguimiento Semanal'!$G:$G,MAX(2,ROW()-3)):INDEX('Seguimiento Semanal'!$G:$G,ROW())),"")</f>
        <v>0</v>
      </c>
      <c r="G40" s="79" t="str">
        <f t="array" ref="G40">IF(ROW()&lt;9,"N/A",IFERROR(IF(ABS(F40-AVERAGE(INDEX('Seguimiento Semanal'!$G:$G,ROW()-7):INDEX('Seguimiento Semanal'!$G:$G,ROW()-4)))&lt;=ABS(AVERAGE(INDEX('Seguimiento Semanal'!$G:$G,ROW()-7):INDEX('Seguimiento Semanal'!$G:$G,ROW()-4)))*1%,"➡️ Estable",IF(F40&gt;AVERAGE(INDEX('Seguimiento Semanal'!$G:$G,ROW()-7):INDEX('Seguimiento Semanal'!$G:$G,ROW()-4)),"🔼 Subiendo","🔻 Bajando")),"N/A"))</f>
        <v>➡️ Estable</v>
      </c>
      <c r="H40" s="80">
        <f t="array" ref="H40">IFERROR(AVERAGE(INDEX('Seguimiento Semanal'!$I:$I,MAX(2,ROW()-3)):INDEX('Seguimiento Semanal'!$I:$I,ROW())),"")</f>
        <v>0</v>
      </c>
      <c r="I40" s="79" t="str">
        <f t="array" ref="I40">IF(ROW()&lt;9,"N/A",IFERROR(IF(ABS(H40-AVERAGE(INDEX('Seguimiento Semanal'!$I:$I,ROW()-7):INDEX('Seguimiento Semanal'!$I:$I,ROW()-4)))&lt;=ABS(AVERAGE(INDEX('Seguimiento Semanal'!$I:$I,ROW()-7):INDEX('Seguimiento Semanal'!$I:$I,ROW()-4)))*1%,"➡️ Estable",IF(H40&gt;AVERAGE(INDEX('Seguimiento Semanal'!$I:$I,ROW()-7):INDEX('Seguimiento Semanal'!$I:$I,ROW()-4)),"🔼 Subiendo","🔻 Bajando")),"N/A"))</f>
        <v>➡️ Estable</v>
      </c>
      <c r="J40" s="80">
        <f t="array" ref="J40">IFERROR(AVERAGE(INDEX('Seguimiento Semanal'!$K:$K,MAX(2,ROW()-3)):INDEX('Seguimiento Semanal'!$K:$K,ROW())),"")</f>
        <v>0</v>
      </c>
      <c r="K40" s="79" t="str">
        <f t="array" ref="K40">IF(ROW()&lt;9,"N/A",IFERROR(IF(ABS(J40-AVERAGE(INDEX('Seguimiento Semanal'!$K:$K,ROW()-7):INDEX('Seguimiento Semanal'!$K:$K,ROW()-4)))&lt;=ABS(AVERAGE(INDEX('Seguimiento Semanal'!$K:$K,ROW()-7):INDEX('Seguimiento Semanal'!$K:$K,ROW()-4)))*1%,"➡️ Estable",IF(J40&gt;AVERAGE(INDEX('Seguimiento Semanal'!$K:$K,ROW()-7):INDEX('Seguimiento Semanal'!$K:$K,ROW()-4)),"🔼 Subiendo","🔻 Bajando")),"N/A"))</f>
        <v>➡️ Estable</v>
      </c>
      <c r="L40" s="80">
        <f t="array" ref="L40">IFERROR(AVERAGE(INDEX('Seguimiento Semanal'!$M:$M,MAX(2,ROW()-3)):INDEX('Seguimiento Semanal'!$M:$M,ROW())),"")</f>
        <v>0</v>
      </c>
      <c r="M40" s="79" t="str">
        <f t="array" ref="M40">IF(ROW()&lt;9,"N/A",IFERROR(IF(ABS(L40-AVERAGE(INDEX('Seguimiento Semanal'!$M:$M,ROW()-7):INDEX('Seguimiento Semanal'!$M:$M,ROW()-4)))&lt;=ABS(AVERAGE(INDEX('Seguimiento Semanal'!$M:$M,ROW()-7):INDEX('Seguimiento Semanal'!$M:$M,ROW()-4)))*1%,"➡️ Estable",IF(L40&gt;AVERAGE(INDEX('Seguimiento Semanal'!$M:$M,ROW()-7):INDEX('Seguimiento Semanal'!$M:$M,ROW()-4)),"🔼 Subiendo","🔻 Bajando")),"N/A"))</f>
        <v>➡️ Estable</v>
      </c>
      <c r="N40" s="79">
        <f t="array" ref="N40">IFERROR(AVERAGE(INDEX('Seguimiento Semanal'!$N:$N,MAX(2,ROW()-3)):INDEX('Seguimiento Semanal'!$N:$N,ROW())),"")</f>
        <v>0</v>
      </c>
      <c r="O40" s="79" t="str">
        <f t="array" ref="O40">IF(ROW()&lt;9,"N/A",IFERROR(IF(ABS(N40-AVERAGE(INDEX('Seguimiento Semanal'!$N:$N,ROW()-7):INDEX('Seguimiento Semanal'!$N:$N,ROW()-4)))&lt;=ABS(AVERAGE(INDEX('Seguimiento Semanal'!$N:$N,ROW()-7):INDEX('Seguimiento Semanal'!$N:$N,ROW()-4)))*1%,"➡️ Estable",IF(N40&gt;AVERAGE(INDEX('Seguimiento Semanal'!$N:$N,ROW()-7):INDEX('Seguimiento Semanal'!$N:$N,ROW()-4)),"🔼 Subiendo","🔻 Bajando")),"N/A"))</f>
        <v>➡️ Estable</v>
      </c>
    </row>
    <row r="41" ht="15.75" customHeight="1">
      <c r="A41" s="79" t="str">
        <f>'Seguimiento Semanal'!A41</f>
        <v>Sem 40</v>
      </c>
      <c r="B41" s="79">
        <f t="array" ref="B41">IFERROR(AVERAGE(INDEX('Seguimiento Semanal'!$C:$C,MAX(2,ROW()-3)):INDEX('Seguimiento Semanal'!$C:$C,ROW())),"")</f>
        <v>0</v>
      </c>
      <c r="C41" s="79" t="str">
        <f t="array" ref="C41">IF(ROW()&lt;9,"N/A",IFERROR(IF(ABS(B41-AVERAGE(INDEX('Seguimiento Semanal'!$C:$C,ROW()-7):INDEX('Seguimiento Semanal'!$C:$C,ROW()-4)))&lt;=ABS(AVERAGE(INDEX('Seguimiento Semanal'!$C:$C,ROW()-7):INDEX('Seguimiento Semanal'!$C:$C,ROW()-4)))*1%,"➡️ Estable",IF(B41&gt;AVERAGE(INDEX('Seguimiento Semanal'!$C:$C,ROW()-7):INDEX('Seguimiento Semanal'!$C:$C,ROW()-4)),"🔼 Subiendo","🔻 Bajando")),"N/A"))</f>
        <v>➡️ Estable</v>
      </c>
      <c r="D41" s="80">
        <f t="array" ref="D41">IFERROR(AVERAGE(INDEX('Seguimiento Semanal'!$E:$E,MAX(2,ROW()-3)):INDEX('Seguimiento Semanal'!$E:$E,ROW())),"")</f>
        <v>0</v>
      </c>
      <c r="E41" s="79" t="str">
        <f t="array" ref="E41">IF(ROW()&lt;9,"N/A",IFERROR(IF(ABS(D41-AVERAGE(INDEX('Seguimiento Semanal'!$E:$E,ROW()-7):INDEX('Seguimiento Semanal'!$E:$E,ROW()-4)))&lt;=ABS(AVERAGE(INDEX('Seguimiento Semanal'!$E:$E,ROW()-7):INDEX('Seguimiento Semanal'!$E:$E,ROW()-4)))*1%,"➡️ Estable",IF(D41&gt;AVERAGE(INDEX('Seguimiento Semanal'!$E:$E,ROW()-7):INDEX('Seguimiento Semanal'!$E:$E,ROW()-4)),"🔼 Subiendo","🔻 Bajando")),"N/A"))</f>
        <v>➡️ Estable</v>
      </c>
      <c r="F41" s="80">
        <f t="array" ref="F41">IFERROR(AVERAGE(INDEX('Seguimiento Semanal'!$G:$G,MAX(2,ROW()-3)):INDEX('Seguimiento Semanal'!$G:$G,ROW())),"")</f>
        <v>0</v>
      </c>
      <c r="G41" s="79" t="str">
        <f t="array" ref="G41">IF(ROW()&lt;9,"N/A",IFERROR(IF(ABS(F41-AVERAGE(INDEX('Seguimiento Semanal'!$G:$G,ROW()-7):INDEX('Seguimiento Semanal'!$G:$G,ROW()-4)))&lt;=ABS(AVERAGE(INDEX('Seguimiento Semanal'!$G:$G,ROW()-7):INDEX('Seguimiento Semanal'!$G:$G,ROW()-4)))*1%,"➡️ Estable",IF(F41&gt;AVERAGE(INDEX('Seguimiento Semanal'!$G:$G,ROW()-7):INDEX('Seguimiento Semanal'!$G:$G,ROW()-4)),"🔼 Subiendo","🔻 Bajando")),"N/A"))</f>
        <v>➡️ Estable</v>
      </c>
      <c r="H41" s="80">
        <f t="array" ref="H41">IFERROR(AVERAGE(INDEX('Seguimiento Semanal'!$I:$I,MAX(2,ROW()-3)):INDEX('Seguimiento Semanal'!$I:$I,ROW())),"")</f>
        <v>0</v>
      </c>
      <c r="I41" s="79" t="str">
        <f t="array" ref="I41">IF(ROW()&lt;9,"N/A",IFERROR(IF(ABS(H41-AVERAGE(INDEX('Seguimiento Semanal'!$I:$I,ROW()-7):INDEX('Seguimiento Semanal'!$I:$I,ROW()-4)))&lt;=ABS(AVERAGE(INDEX('Seguimiento Semanal'!$I:$I,ROW()-7):INDEX('Seguimiento Semanal'!$I:$I,ROW()-4)))*1%,"➡️ Estable",IF(H41&gt;AVERAGE(INDEX('Seguimiento Semanal'!$I:$I,ROW()-7):INDEX('Seguimiento Semanal'!$I:$I,ROW()-4)),"🔼 Subiendo","🔻 Bajando")),"N/A"))</f>
        <v>➡️ Estable</v>
      </c>
      <c r="J41" s="80">
        <f t="array" ref="J41">IFERROR(AVERAGE(INDEX('Seguimiento Semanal'!$K:$K,MAX(2,ROW()-3)):INDEX('Seguimiento Semanal'!$K:$K,ROW())),"")</f>
        <v>0</v>
      </c>
      <c r="K41" s="79" t="str">
        <f t="array" ref="K41">IF(ROW()&lt;9,"N/A",IFERROR(IF(ABS(J41-AVERAGE(INDEX('Seguimiento Semanal'!$K:$K,ROW()-7):INDEX('Seguimiento Semanal'!$K:$K,ROW()-4)))&lt;=ABS(AVERAGE(INDEX('Seguimiento Semanal'!$K:$K,ROW()-7):INDEX('Seguimiento Semanal'!$K:$K,ROW()-4)))*1%,"➡️ Estable",IF(J41&gt;AVERAGE(INDEX('Seguimiento Semanal'!$K:$K,ROW()-7):INDEX('Seguimiento Semanal'!$K:$K,ROW()-4)),"🔼 Subiendo","🔻 Bajando")),"N/A"))</f>
        <v>➡️ Estable</v>
      </c>
      <c r="L41" s="80">
        <f t="array" ref="L41">IFERROR(AVERAGE(INDEX('Seguimiento Semanal'!$M:$M,MAX(2,ROW()-3)):INDEX('Seguimiento Semanal'!$M:$M,ROW())),"")</f>
        <v>0</v>
      </c>
      <c r="M41" s="79" t="str">
        <f t="array" ref="M41">IF(ROW()&lt;9,"N/A",IFERROR(IF(ABS(L41-AVERAGE(INDEX('Seguimiento Semanal'!$M:$M,ROW()-7):INDEX('Seguimiento Semanal'!$M:$M,ROW()-4)))&lt;=ABS(AVERAGE(INDEX('Seguimiento Semanal'!$M:$M,ROW()-7):INDEX('Seguimiento Semanal'!$M:$M,ROW()-4)))*1%,"➡️ Estable",IF(L41&gt;AVERAGE(INDEX('Seguimiento Semanal'!$M:$M,ROW()-7):INDEX('Seguimiento Semanal'!$M:$M,ROW()-4)),"🔼 Subiendo","🔻 Bajando")),"N/A"))</f>
        <v>➡️ Estable</v>
      </c>
      <c r="N41" s="79">
        <f t="array" ref="N41">IFERROR(AVERAGE(INDEX('Seguimiento Semanal'!$N:$N,MAX(2,ROW()-3)):INDEX('Seguimiento Semanal'!$N:$N,ROW())),"")</f>
        <v>0</v>
      </c>
      <c r="O41" s="79" t="str">
        <f t="array" ref="O41">IF(ROW()&lt;9,"N/A",IFERROR(IF(ABS(N41-AVERAGE(INDEX('Seguimiento Semanal'!$N:$N,ROW()-7):INDEX('Seguimiento Semanal'!$N:$N,ROW()-4)))&lt;=ABS(AVERAGE(INDEX('Seguimiento Semanal'!$N:$N,ROW()-7):INDEX('Seguimiento Semanal'!$N:$N,ROW()-4)))*1%,"➡️ Estable",IF(N41&gt;AVERAGE(INDEX('Seguimiento Semanal'!$N:$N,ROW()-7):INDEX('Seguimiento Semanal'!$N:$N,ROW()-4)),"🔼 Subiendo","🔻 Bajando")),"N/A"))</f>
        <v>➡️ Estable</v>
      </c>
    </row>
    <row r="42" ht="15.75" customHeight="1">
      <c r="A42" s="79" t="str">
        <f>'Seguimiento Semanal'!A42</f>
        <v>Sem 41</v>
      </c>
      <c r="B42" s="79">
        <f t="array" ref="B42">IFERROR(AVERAGE(INDEX('Seguimiento Semanal'!$C:$C,MAX(2,ROW()-3)):INDEX('Seguimiento Semanal'!$C:$C,ROW())),"")</f>
        <v>0</v>
      </c>
      <c r="C42" s="79" t="str">
        <f t="array" ref="C42">IF(ROW()&lt;9,"N/A",IFERROR(IF(ABS(B42-AVERAGE(INDEX('Seguimiento Semanal'!$C:$C,ROW()-7):INDEX('Seguimiento Semanal'!$C:$C,ROW()-4)))&lt;=ABS(AVERAGE(INDEX('Seguimiento Semanal'!$C:$C,ROW()-7):INDEX('Seguimiento Semanal'!$C:$C,ROW()-4)))*1%,"➡️ Estable",IF(B42&gt;AVERAGE(INDEX('Seguimiento Semanal'!$C:$C,ROW()-7):INDEX('Seguimiento Semanal'!$C:$C,ROW()-4)),"🔼 Subiendo","🔻 Bajando")),"N/A"))</f>
        <v>➡️ Estable</v>
      </c>
      <c r="D42" s="80">
        <f t="array" ref="D42">IFERROR(AVERAGE(INDEX('Seguimiento Semanal'!$E:$E,MAX(2,ROW()-3)):INDEX('Seguimiento Semanal'!$E:$E,ROW())),"")</f>
        <v>0</v>
      </c>
      <c r="E42" s="79" t="str">
        <f t="array" ref="E42">IF(ROW()&lt;9,"N/A",IFERROR(IF(ABS(D42-AVERAGE(INDEX('Seguimiento Semanal'!$E:$E,ROW()-7):INDEX('Seguimiento Semanal'!$E:$E,ROW()-4)))&lt;=ABS(AVERAGE(INDEX('Seguimiento Semanal'!$E:$E,ROW()-7):INDEX('Seguimiento Semanal'!$E:$E,ROW()-4)))*1%,"➡️ Estable",IF(D42&gt;AVERAGE(INDEX('Seguimiento Semanal'!$E:$E,ROW()-7):INDEX('Seguimiento Semanal'!$E:$E,ROW()-4)),"🔼 Subiendo","🔻 Bajando")),"N/A"))</f>
        <v>➡️ Estable</v>
      </c>
      <c r="F42" s="80">
        <f t="array" ref="F42">IFERROR(AVERAGE(INDEX('Seguimiento Semanal'!$G:$G,MAX(2,ROW()-3)):INDEX('Seguimiento Semanal'!$G:$G,ROW())),"")</f>
        <v>0</v>
      </c>
      <c r="G42" s="79" t="str">
        <f t="array" ref="G42">IF(ROW()&lt;9,"N/A",IFERROR(IF(ABS(F42-AVERAGE(INDEX('Seguimiento Semanal'!$G:$G,ROW()-7):INDEX('Seguimiento Semanal'!$G:$G,ROW()-4)))&lt;=ABS(AVERAGE(INDEX('Seguimiento Semanal'!$G:$G,ROW()-7):INDEX('Seguimiento Semanal'!$G:$G,ROW()-4)))*1%,"➡️ Estable",IF(F42&gt;AVERAGE(INDEX('Seguimiento Semanal'!$G:$G,ROW()-7):INDEX('Seguimiento Semanal'!$G:$G,ROW()-4)),"🔼 Subiendo","🔻 Bajando")),"N/A"))</f>
        <v>➡️ Estable</v>
      </c>
      <c r="H42" s="80">
        <f t="array" ref="H42">IFERROR(AVERAGE(INDEX('Seguimiento Semanal'!$I:$I,MAX(2,ROW()-3)):INDEX('Seguimiento Semanal'!$I:$I,ROW())),"")</f>
        <v>0</v>
      </c>
      <c r="I42" s="79" t="str">
        <f t="array" ref="I42">IF(ROW()&lt;9,"N/A",IFERROR(IF(ABS(H42-AVERAGE(INDEX('Seguimiento Semanal'!$I:$I,ROW()-7):INDEX('Seguimiento Semanal'!$I:$I,ROW()-4)))&lt;=ABS(AVERAGE(INDEX('Seguimiento Semanal'!$I:$I,ROW()-7):INDEX('Seguimiento Semanal'!$I:$I,ROW()-4)))*1%,"➡️ Estable",IF(H42&gt;AVERAGE(INDEX('Seguimiento Semanal'!$I:$I,ROW()-7):INDEX('Seguimiento Semanal'!$I:$I,ROW()-4)),"🔼 Subiendo","🔻 Bajando")),"N/A"))</f>
        <v>➡️ Estable</v>
      </c>
      <c r="J42" s="80">
        <f t="array" ref="J42">IFERROR(AVERAGE(INDEX('Seguimiento Semanal'!$K:$K,MAX(2,ROW()-3)):INDEX('Seguimiento Semanal'!$K:$K,ROW())),"")</f>
        <v>0</v>
      </c>
      <c r="K42" s="79" t="str">
        <f t="array" ref="K42">IF(ROW()&lt;9,"N/A",IFERROR(IF(ABS(J42-AVERAGE(INDEX('Seguimiento Semanal'!$K:$K,ROW()-7):INDEX('Seguimiento Semanal'!$K:$K,ROW()-4)))&lt;=ABS(AVERAGE(INDEX('Seguimiento Semanal'!$K:$K,ROW()-7):INDEX('Seguimiento Semanal'!$K:$K,ROW()-4)))*1%,"➡️ Estable",IF(J42&gt;AVERAGE(INDEX('Seguimiento Semanal'!$K:$K,ROW()-7):INDEX('Seguimiento Semanal'!$K:$K,ROW()-4)),"🔼 Subiendo","🔻 Bajando")),"N/A"))</f>
        <v>➡️ Estable</v>
      </c>
      <c r="L42" s="80">
        <f t="array" ref="L42">IFERROR(AVERAGE(INDEX('Seguimiento Semanal'!$M:$M,MAX(2,ROW()-3)):INDEX('Seguimiento Semanal'!$M:$M,ROW())),"")</f>
        <v>0</v>
      </c>
      <c r="M42" s="79" t="str">
        <f t="array" ref="M42">IF(ROW()&lt;9,"N/A",IFERROR(IF(ABS(L42-AVERAGE(INDEX('Seguimiento Semanal'!$M:$M,ROW()-7):INDEX('Seguimiento Semanal'!$M:$M,ROW()-4)))&lt;=ABS(AVERAGE(INDEX('Seguimiento Semanal'!$M:$M,ROW()-7):INDEX('Seguimiento Semanal'!$M:$M,ROW()-4)))*1%,"➡️ Estable",IF(L42&gt;AVERAGE(INDEX('Seguimiento Semanal'!$M:$M,ROW()-7):INDEX('Seguimiento Semanal'!$M:$M,ROW()-4)),"🔼 Subiendo","🔻 Bajando")),"N/A"))</f>
        <v>➡️ Estable</v>
      </c>
      <c r="N42" s="79">
        <f t="array" ref="N42">IFERROR(AVERAGE(INDEX('Seguimiento Semanal'!$N:$N,MAX(2,ROW()-3)):INDEX('Seguimiento Semanal'!$N:$N,ROW())),"")</f>
        <v>0</v>
      </c>
      <c r="O42" s="79" t="str">
        <f t="array" ref="O42">IF(ROW()&lt;9,"N/A",IFERROR(IF(ABS(N42-AVERAGE(INDEX('Seguimiento Semanal'!$N:$N,ROW()-7):INDEX('Seguimiento Semanal'!$N:$N,ROW()-4)))&lt;=ABS(AVERAGE(INDEX('Seguimiento Semanal'!$N:$N,ROW()-7):INDEX('Seguimiento Semanal'!$N:$N,ROW()-4)))*1%,"➡️ Estable",IF(N42&gt;AVERAGE(INDEX('Seguimiento Semanal'!$N:$N,ROW()-7):INDEX('Seguimiento Semanal'!$N:$N,ROW()-4)),"🔼 Subiendo","🔻 Bajando")),"N/A"))</f>
        <v>➡️ Estable</v>
      </c>
    </row>
    <row r="43" ht="15.75" customHeight="1">
      <c r="A43" s="79" t="str">
        <f>'Seguimiento Semanal'!A43</f>
        <v>Sem 42</v>
      </c>
      <c r="B43" s="79">
        <f t="array" ref="B43">IFERROR(AVERAGE(INDEX('Seguimiento Semanal'!$C:$C,MAX(2,ROW()-3)):INDEX('Seguimiento Semanal'!$C:$C,ROW())),"")</f>
        <v>0</v>
      </c>
      <c r="C43" s="79" t="str">
        <f t="array" ref="C43">IF(ROW()&lt;9,"N/A",IFERROR(IF(ABS(B43-AVERAGE(INDEX('Seguimiento Semanal'!$C:$C,ROW()-7):INDEX('Seguimiento Semanal'!$C:$C,ROW()-4)))&lt;=ABS(AVERAGE(INDEX('Seguimiento Semanal'!$C:$C,ROW()-7):INDEX('Seguimiento Semanal'!$C:$C,ROW()-4)))*1%,"➡️ Estable",IF(B43&gt;AVERAGE(INDEX('Seguimiento Semanal'!$C:$C,ROW()-7):INDEX('Seguimiento Semanal'!$C:$C,ROW()-4)),"🔼 Subiendo","🔻 Bajando")),"N/A"))</f>
        <v>➡️ Estable</v>
      </c>
      <c r="D43" s="80">
        <f t="array" ref="D43">IFERROR(AVERAGE(INDEX('Seguimiento Semanal'!$E:$E,MAX(2,ROW()-3)):INDEX('Seguimiento Semanal'!$E:$E,ROW())),"")</f>
        <v>0</v>
      </c>
      <c r="E43" s="79" t="str">
        <f t="array" ref="E43">IF(ROW()&lt;9,"N/A",IFERROR(IF(ABS(D43-AVERAGE(INDEX('Seguimiento Semanal'!$E:$E,ROW()-7):INDEX('Seguimiento Semanal'!$E:$E,ROW()-4)))&lt;=ABS(AVERAGE(INDEX('Seguimiento Semanal'!$E:$E,ROW()-7):INDEX('Seguimiento Semanal'!$E:$E,ROW()-4)))*1%,"➡️ Estable",IF(D43&gt;AVERAGE(INDEX('Seguimiento Semanal'!$E:$E,ROW()-7):INDEX('Seguimiento Semanal'!$E:$E,ROW()-4)),"🔼 Subiendo","🔻 Bajando")),"N/A"))</f>
        <v>➡️ Estable</v>
      </c>
      <c r="F43" s="80">
        <f t="array" ref="F43">IFERROR(AVERAGE(INDEX('Seguimiento Semanal'!$G:$G,MAX(2,ROW()-3)):INDEX('Seguimiento Semanal'!$G:$G,ROW())),"")</f>
        <v>0</v>
      </c>
      <c r="G43" s="79" t="str">
        <f t="array" ref="G43">IF(ROW()&lt;9,"N/A",IFERROR(IF(ABS(F43-AVERAGE(INDEX('Seguimiento Semanal'!$G:$G,ROW()-7):INDEX('Seguimiento Semanal'!$G:$G,ROW()-4)))&lt;=ABS(AVERAGE(INDEX('Seguimiento Semanal'!$G:$G,ROW()-7):INDEX('Seguimiento Semanal'!$G:$G,ROW()-4)))*1%,"➡️ Estable",IF(F43&gt;AVERAGE(INDEX('Seguimiento Semanal'!$G:$G,ROW()-7):INDEX('Seguimiento Semanal'!$G:$G,ROW()-4)),"🔼 Subiendo","🔻 Bajando")),"N/A"))</f>
        <v>➡️ Estable</v>
      </c>
      <c r="H43" s="80">
        <f t="array" ref="H43">IFERROR(AVERAGE(INDEX('Seguimiento Semanal'!$I:$I,MAX(2,ROW()-3)):INDEX('Seguimiento Semanal'!$I:$I,ROW())),"")</f>
        <v>0</v>
      </c>
      <c r="I43" s="79" t="str">
        <f t="array" ref="I43">IF(ROW()&lt;9,"N/A",IFERROR(IF(ABS(H43-AVERAGE(INDEX('Seguimiento Semanal'!$I:$I,ROW()-7):INDEX('Seguimiento Semanal'!$I:$I,ROW()-4)))&lt;=ABS(AVERAGE(INDEX('Seguimiento Semanal'!$I:$I,ROW()-7):INDEX('Seguimiento Semanal'!$I:$I,ROW()-4)))*1%,"➡️ Estable",IF(H43&gt;AVERAGE(INDEX('Seguimiento Semanal'!$I:$I,ROW()-7):INDEX('Seguimiento Semanal'!$I:$I,ROW()-4)),"🔼 Subiendo","🔻 Bajando")),"N/A"))</f>
        <v>➡️ Estable</v>
      </c>
      <c r="J43" s="80">
        <f t="array" ref="J43">IFERROR(AVERAGE(INDEX('Seguimiento Semanal'!$K:$K,MAX(2,ROW()-3)):INDEX('Seguimiento Semanal'!$K:$K,ROW())),"")</f>
        <v>0</v>
      </c>
      <c r="K43" s="79" t="str">
        <f t="array" ref="K43">IF(ROW()&lt;9,"N/A",IFERROR(IF(ABS(J43-AVERAGE(INDEX('Seguimiento Semanal'!$K:$K,ROW()-7):INDEX('Seguimiento Semanal'!$K:$K,ROW()-4)))&lt;=ABS(AVERAGE(INDEX('Seguimiento Semanal'!$K:$K,ROW()-7):INDEX('Seguimiento Semanal'!$K:$K,ROW()-4)))*1%,"➡️ Estable",IF(J43&gt;AVERAGE(INDEX('Seguimiento Semanal'!$K:$K,ROW()-7):INDEX('Seguimiento Semanal'!$K:$K,ROW()-4)),"🔼 Subiendo","🔻 Bajando")),"N/A"))</f>
        <v>➡️ Estable</v>
      </c>
      <c r="L43" s="80">
        <f t="array" ref="L43">IFERROR(AVERAGE(INDEX('Seguimiento Semanal'!$M:$M,MAX(2,ROW()-3)):INDEX('Seguimiento Semanal'!$M:$M,ROW())),"")</f>
        <v>0</v>
      </c>
      <c r="M43" s="79" t="str">
        <f t="array" ref="M43">IF(ROW()&lt;9,"N/A",IFERROR(IF(ABS(L43-AVERAGE(INDEX('Seguimiento Semanal'!$M:$M,ROW()-7):INDEX('Seguimiento Semanal'!$M:$M,ROW()-4)))&lt;=ABS(AVERAGE(INDEX('Seguimiento Semanal'!$M:$M,ROW()-7):INDEX('Seguimiento Semanal'!$M:$M,ROW()-4)))*1%,"➡️ Estable",IF(L43&gt;AVERAGE(INDEX('Seguimiento Semanal'!$M:$M,ROW()-7):INDEX('Seguimiento Semanal'!$M:$M,ROW()-4)),"🔼 Subiendo","🔻 Bajando")),"N/A"))</f>
        <v>➡️ Estable</v>
      </c>
      <c r="N43" s="79">
        <f t="array" ref="N43">IFERROR(AVERAGE(INDEX('Seguimiento Semanal'!$N:$N,MAX(2,ROW()-3)):INDEX('Seguimiento Semanal'!$N:$N,ROW())),"")</f>
        <v>0</v>
      </c>
      <c r="O43" s="79" t="str">
        <f t="array" ref="O43">IF(ROW()&lt;9,"N/A",IFERROR(IF(ABS(N43-AVERAGE(INDEX('Seguimiento Semanal'!$N:$N,ROW()-7):INDEX('Seguimiento Semanal'!$N:$N,ROW()-4)))&lt;=ABS(AVERAGE(INDEX('Seguimiento Semanal'!$N:$N,ROW()-7):INDEX('Seguimiento Semanal'!$N:$N,ROW()-4)))*1%,"➡️ Estable",IF(N43&gt;AVERAGE(INDEX('Seguimiento Semanal'!$N:$N,ROW()-7):INDEX('Seguimiento Semanal'!$N:$N,ROW()-4)),"🔼 Subiendo","🔻 Bajando")),"N/A"))</f>
        <v>➡️ Estable</v>
      </c>
    </row>
    <row r="44" ht="15.75" customHeight="1">
      <c r="A44" s="79" t="str">
        <f>'Seguimiento Semanal'!A44</f>
        <v>Sem 43</v>
      </c>
      <c r="B44" s="79">
        <f t="array" ref="B44">IFERROR(AVERAGE(INDEX('Seguimiento Semanal'!$C:$C,MAX(2,ROW()-3)):INDEX('Seguimiento Semanal'!$C:$C,ROW())),"")</f>
        <v>0</v>
      </c>
      <c r="C44" s="79" t="str">
        <f t="array" ref="C44">IF(ROW()&lt;9,"N/A",IFERROR(IF(ABS(B44-AVERAGE(INDEX('Seguimiento Semanal'!$C:$C,ROW()-7):INDEX('Seguimiento Semanal'!$C:$C,ROW()-4)))&lt;=ABS(AVERAGE(INDEX('Seguimiento Semanal'!$C:$C,ROW()-7):INDEX('Seguimiento Semanal'!$C:$C,ROW()-4)))*1%,"➡️ Estable",IF(B44&gt;AVERAGE(INDEX('Seguimiento Semanal'!$C:$C,ROW()-7):INDEX('Seguimiento Semanal'!$C:$C,ROW()-4)),"🔼 Subiendo","🔻 Bajando")),"N/A"))</f>
        <v>➡️ Estable</v>
      </c>
      <c r="D44" s="80">
        <f t="array" ref="D44">IFERROR(AVERAGE(INDEX('Seguimiento Semanal'!$E:$E,MAX(2,ROW()-3)):INDEX('Seguimiento Semanal'!$E:$E,ROW())),"")</f>
        <v>0</v>
      </c>
      <c r="E44" s="79" t="str">
        <f t="array" ref="E44">IF(ROW()&lt;9,"N/A",IFERROR(IF(ABS(D44-AVERAGE(INDEX('Seguimiento Semanal'!$E:$E,ROW()-7):INDEX('Seguimiento Semanal'!$E:$E,ROW()-4)))&lt;=ABS(AVERAGE(INDEX('Seguimiento Semanal'!$E:$E,ROW()-7):INDEX('Seguimiento Semanal'!$E:$E,ROW()-4)))*1%,"➡️ Estable",IF(D44&gt;AVERAGE(INDEX('Seguimiento Semanal'!$E:$E,ROW()-7):INDEX('Seguimiento Semanal'!$E:$E,ROW()-4)),"🔼 Subiendo","🔻 Bajando")),"N/A"))</f>
        <v>➡️ Estable</v>
      </c>
      <c r="F44" s="80">
        <f t="array" ref="F44">IFERROR(AVERAGE(INDEX('Seguimiento Semanal'!$G:$G,MAX(2,ROW()-3)):INDEX('Seguimiento Semanal'!$G:$G,ROW())),"")</f>
        <v>0</v>
      </c>
      <c r="G44" s="79" t="str">
        <f t="array" ref="G44">IF(ROW()&lt;9,"N/A",IFERROR(IF(ABS(F44-AVERAGE(INDEX('Seguimiento Semanal'!$G:$G,ROW()-7):INDEX('Seguimiento Semanal'!$G:$G,ROW()-4)))&lt;=ABS(AVERAGE(INDEX('Seguimiento Semanal'!$G:$G,ROW()-7):INDEX('Seguimiento Semanal'!$G:$G,ROW()-4)))*1%,"➡️ Estable",IF(F44&gt;AVERAGE(INDEX('Seguimiento Semanal'!$G:$G,ROW()-7):INDEX('Seguimiento Semanal'!$G:$G,ROW()-4)),"🔼 Subiendo","🔻 Bajando")),"N/A"))</f>
        <v>➡️ Estable</v>
      </c>
      <c r="H44" s="80">
        <f t="array" ref="H44">IFERROR(AVERAGE(INDEX('Seguimiento Semanal'!$I:$I,MAX(2,ROW()-3)):INDEX('Seguimiento Semanal'!$I:$I,ROW())),"")</f>
        <v>0</v>
      </c>
      <c r="I44" s="79" t="str">
        <f t="array" ref="I44">IF(ROW()&lt;9,"N/A",IFERROR(IF(ABS(H44-AVERAGE(INDEX('Seguimiento Semanal'!$I:$I,ROW()-7):INDEX('Seguimiento Semanal'!$I:$I,ROW()-4)))&lt;=ABS(AVERAGE(INDEX('Seguimiento Semanal'!$I:$I,ROW()-7):INDEX('Seguimiento Semanal'!$I:$I,ROW()-4)))*1%,"➡️ Estable",IF(H44&gt;AVERAGE(INDEX('Seguimiento Semanal'!$I:$I,ROW()-7):INDEX('Seguimiento Semanal'!$I:$I,ROW()-4)),"🔼 Subiendo","🔻 Bajando")),"N/A"))</f>
        <v>➡️ Estable</v>
      </c>
      <c r="J44" s="80">
        <f t="array" ref="J44">IFERROR(AVERAGE(INDEX('Seguimiento Semanal'!$K:$K,MAX(2,ROW()-3)):INDEX('Seguimiento Semanal'!$K:$K,ROW())),"")</f>
        <v>0</v>
      </c>
      <c r="K44" s="79" t="str">
        <f t="array" ref="K44">IF(ROW()&lt;9,"N/A",IFERROR(IF(ABS(J44-AVERAGE(INDEX('Seguimiento Semanal'!$K:$K,ROW()-7):INDEX('Seguimiento Semanal'!$K:$K,ROW()-4)))&lt;=ABS(AVERAGE(INDEX('Seguimiento Semanal'!$K:$K,ROW()-7):INDEX('Seguimiento Semanal'!$K:$K,ROW()-4)))*1%,"➡️ Estable",IF(J44&gt;AVERAGE(INDEX('Seguimiento Semanal'!$K:$K,ROW()-7):INDEX('Seguimiento Semanal'!$K:$K,ROW()-4)),"🔼 Subiendo","🔻 Bajando")),"N/A"))</f>
        <v>➡️ Estable</v>
      </c>
      <c r="L44" s="80">
        <f t="array" ref="L44">IFERROR(AVERAGE(INDEX('Seguimiento Semanal'!$M:$M,MAX(2,ROW()-3)):INDEX('Seguimiento Semanal'!$M:$M,ROW())),"")</f>
        <v>0</v>
      </c>
      <c r="M44" s="79" t="str">
        <f t="array" ref="M44">IF(ROW()&lt;9,"N/A",IFERROR(IF(ABS(L44-AVERAGE(INDEX('Seguimiento Semanal'!$M:$M,ROW()-7):INDEX('Seguimiento Semanal'!$M:$M,ROW()-4)))&lt;=ABS(AVERAGE(INDEX('Seguimiento Semanal'!$M:$M,ROW()-7):INDEX('Seguimiento Semanal'!$M:$M,ROW()-4)))*1%,"➡️ Estable",IF(L44&gt;AVERAGE(INDEX('Seguimiento Semanal'!$M:$M,ROW()-7):INDEX('Seguimiento Semanal'!$M:$M,ROW()-4)),"🔼 Subiendo","🔻 Bajando")),"N/A"))</f>
        <v>➡️ Estable</v>
      </c>
      <c r="N44" s="79">
        <f t="array" ref="N44">IFERROR(AVERAGE(INDEX('Seguimiento Semanal'!$N:$N,MAX(2,ROW()-3)):INDEX('Seguimiento Semanal'!$N:$N,ROW())),"")</f>
        <v>0</v>
      </c>
      <c r="O44" s="79" t="str">
        <f t="array" ref="O44">IF(ROW()&lt;9,"N/A",IFERROR(IF(ABS(N44-AVERAGE(INDEX('Seguimiento Semanal'!$N:$N,ROW()-7):INDEX('Seguimiento Semanal'!$N:$N,ROW()-4)))&lt;=ABS(AVERAGE(INDEX('Seguimiento Semanal'!$N:$N,ROW()-7):INDEX('Seguimiento Semanal'!$N:$N,ROW()-4)))*1%,"➡️ Estable",IF(N44&gt;AVERAGE(INDEX('Seguimiento Semanal'!$N:$N,ROW()-7):INDEX('Seguimiento Semanal'!$N:$N,ROW()-4)),"🔼 Subiendo","🔻 Bajando")),"N/A"))</f>
        <v>➡️ Estable</v>
      </c>
    </row>
    <row r="45" ht="15.75" customHeight="1">
      <c r="A45" s="79" t="str">
        <f>'Seguimiento Semanal'!A45</f>
        <v>Sem 44</v>
      </c>
      <c r="B45" s="79">
        <f t="array" ref="B45">IFERROR(AVERAGE(INDEX('Seguimiento Semanal'!$C:$C,MAX(2,ROW()-3)):INDEX('Seguimiento Semanal'!$C:$C,ROW())),"")</f>
        <v>0</v>
      </c>
      <c r="C45" s="79" t="str">
        <f t="array" ref="C45">IF(ROW()&lt;9,"N/A",IFERROR(IF(ABS(B45-AVERAGE(INDEX('Seguimiento Semanal'!$C:$C,ROW()-7):INDEX('Seguimiento Semanal'!$C:$C,ROW()-4)))&lt;=ABS(AVERAGE(INDEX('Seguimiento Semanal'!$C:$C,ROW()-7):INDEX('Seguimiento Semanal'!$C:$C,ROW()-4)))*1%,"➡️ Estable",IF(B45&gt;AVERAGE(INDEX('Seguimiento Semanal'!$C:$C,ROW()-7):INDEX('Seguimiento Semanal'!$C:$C,ROW()-4)),"🔼 Subiendo","🔻 Bajando")),"N/A"))</f>
        <v>➡️ Estable</v>
      </c>
      <c r="D45" s="80">
        <f t="array" ref="D45">IFERROR(AVERAGE(INDEX('Seguimiento Semanal'!$E:$E,MAX(2,ROW()-3)):INDEX('Seguimiento Semanal'!$E:$E,ROW())),"")</f>
        <v>0</v>
      </c>
      <c r="E45" s="79" t="str">
        <f t="array" ref="E45">IF(ROW()&lt;9,"N/A",IFERROR(IF(ABS(D45-AVERAGE(INDEX('Seguimiento Semanal'!$E:$E,ROW()-7):INDEX('Seguimiento Semanal'!$E:$E,ROW()-4)))&lt;=ABS(AVERAGE(INDEX('Seguimiento Semanal'!$E:$E,ROW()-7):INDEX('Seguimiento Semanal'!$E:$E,ROW()-4)))*1%,"➡️ Estable",IF(D45&gt;AVERAGE(INDEX('Seguimiento Semanal'!$E:$E,ROW()-7):INDEX('Seguimiento Semanal'!$E:$E,ROW()-4)),"🔼 Subiendo","🔻 Bajando")),"N/A"))</f>
        <v>➡️ Estable</v>
      </c>
      <c r="F45" s="80">
        <f t="array" ref="F45">IFERROR(AVERAGE(INDEX('Seguimiento Semanal'!$G:$G,MAX(2,ROW()-3)):INDEX('Seguimiento Semanal'!$G:$G,ROW())),"")</f>
        <v>0</v>
      </c>
      <c r="G45" s="79" t="str">
        <f t="array" ref="G45">IF(ROW()&lt;9,"N/A",IFERROR(IF(ABS(F45-AVERAGE(INDEX('Seguimiento Semanal'!$G:$G,ROW()-7):INDEX('Seguimiento Semanal'!$G:$G,ROW()-4)))&lt;=ABS(AVERAGE(INDEX('Seguimiento Semanal'!$G:$G,ROW()-7):INDEX('Seguimiento Semanal'!$G:$G,ROW()-4)))*1%,"➡️ Estable",IF(F45&gt;AVERAGE(INDEX('Seguimiento Semanal'!$G:$G,ROW()-7):INDEX('Seguimiento Semanal'!$G:$G,ROW()-4)),"🔼 Subiendo","🔻 Bajando")),"N/A"))</f>
        <v>➡️ Estable</v>
      </c>
      <c r="H45" s="80">
        <f t="array" ref="H45">IFERROR(AVERAGE(INDEX('Seguimiento Semanal'!$I:$I,MAX(2,ROW()-3)):INDEX('Seguimiento Semanal'!$I:$I,ROW())),"")</f>
        <v>0</v>
      </c>
      <c r="I45" s="79" t="str">
        <f t="array" ref="I45">IF(ROW()&lt;9,"N/A",IFERROR(IF(ABS(H45-AVERAGE(INDEX('Seguimiento Semanal'!$I:$I,ROW()-7):INDEX('Seguimiento Semanal'!$I:$I,ROW()-4)))&lt;=ABS(AVERAGE(INDEX('Seguimiento Semanal'!$I:$I,ROW()-7):INDEX('Seguimiento Semanal'!$I:$I,ROW()-4)))*1%,"➡️ Estable",IF(H45&gt;AVERAGE(INDEX('Seguimiento Semanal'!$I:$I,ROW()-7):INDEX('Seguimiento Semanal'!$I:$I,ROW()-4)),"🔼 Subiendo","🔻 Bajando")),"N/A"))</f>
        <v>➡️ Estable</v>
      </c>
      <c r="J45" s="80">
        <f t="array" ref="J45">IFERROR(AVERAGE(INDEX('Seguimiento Semanal'!$K:$K,MAX(2,ROW()-3)):INDEX('Seguimiento Semanal'!$K:$K,ROW())),"")</f>
        <v>0</v>
      </c>
      <c r="K45" s="79" t="str">
        <f t="array" ref="K45">IF(ROW()&lt;9,"N/A",IFERROR(IF(ABS(J45-AVERAGE(INDEX('Seguimiento Semanal'!$K:$K,ROW()-7):INDEX('Seguimiento Semanal'!$K:$K,ROW()-4)))&lt;=ABS(AVERAGE(INDEX('Seguimiento Semanal'!$K:$K,ROW()-7):INDEX('Seguimiento Semanal'!$K:$K,ROW()-4)))*1%,"➡️ Estable",IF(J45&gt;AVERAGE(INDEX('Seguimiento Semanal'!$K:$K,ROW()-7):INDEX('Seguimiento Semanal'!$K:$K,ROW()-4)),"🔼 Subiendo","🔻 Bajando")),"N/A"))</f>
        <v>➡️ Estable</v>
      </c>
      <c r="L45" s="80">
        <f t="array" ref="L45">IFERROR(AVERAGE(INDEX('Seguimiento Semanal'!$M:$M,MAX(2,ROW()-3)):INDEX('Seguimiento Semanal'!$M:$M,ROW())),"")</f>
        <v>0</v>
      </c>
      <c r="M45" s="79" t="str">
        <f t="array" ref="M45">IF(ROW()&lt;9,"N/A",IFERROR(IF(ABS(L45-AVERAGE(INDEX('Seguimiento Semanal'!$M:$M,ROW()-7):INDEX('Seguimiento Semanal'!$M:$M,ROW()-4)))&lt;=ABS(AVERAGE(INDEX('Seguimiento Semanal'!$M:$M,ROW()-7):INDEX('Seguimiento Semanal'!$M:$M,ROW()-4)))*1%,"➡️ Estable",IF(L45&gt;AVERAGE(INDEX('Seguimiento Semanal'!$M:$M,ROW()-7):INDEX('Seguimiento Semanal'!$M:$M,ROW()-4)),"🔼 Subiendo","🔻 Bajando")),"N/A"))</f>
        <v>➡️ Estable</v>
      </c>
      <c r="N45" s="79">
        <f t="array" ref="N45">IFERROR(AVERAGE(INDEX('Seguimiento Semanal'!$N:$N,MAX(2,ROW()-3)):INDEX('Seguimiento Semanal'!$N:$N,ROW())),"")</f>
        <v>0</v>
      </c>
      <c r="O45" s="79" t="str">
        <f t="array" ref="O45">IF(ROW()&lt;9,"N/A",IFERROR(IF(ABS(N45-AVERAGE(INDEX('Seguimiento Semanal'!$N:$N,ROW()-7):INDEX('Seguimiento Semanal'!$N:$N,ROW()-4)))&lt;=ABS(AVERAGE(INDEX('Seguimiento Semanal'!$N:$N,ROW()-7):INDEX('Seguimiento Semanal'!$N:$N,ROW()-4)))*1%,"➡️ Estable",IF(N45&gt;AVERAGE(INDEX('Seguimiento Semanal'!$N:$N,ROW()-7):INDEX('Seguimiento Semanal'!$N:$N,ROW()-4)),"🔼 Subiendo","🔻 Bajando")),"N/A"))</f>
        <v>➡️ Estable</v>
      </c>
    </row>
    <row r="46" ht="15.75" customHeight="1">
      <c r="A46" s="79" t="str">
        <f>'Seguimiento Semanal'!A46</f>
        <v>Sem 45</v>
      </c>
      <c r="B46" s="79">
        <f t="array" ref="B46">IFERROR(AVERAGE(INDEX('Seguimiento Semanal'!$C:$C,MAX(2,ROW()-3)):INDEX('Seguimiento Semanal'!$C:$C,ROW())),"")</f>
        <v>0</v>
      </c>
      <c r="C46" s="79" t="str">
        <f t="array" ref="C46">IF(ROW()&lt;9,"N/A",IFERROR(IF(ABS(B46-AVERAGE(INDEX('Seguimiento Semanal'!$C:$C,ROW()-7):INDEX('Seguimiento Semanal'!$C:$C,ROW()-4)))&lt;=ABS(AVERAGE(INDEX('Seguimiento Semanal'!$C:$C,ROW()-7):INDEX('Seguimiento Semanal'!$C:$C,ROW()-4)))*1%,"➡️ Estable",IF(B46&gt;AVERAGE(INDEX('Seguimiento Semanal'!$C:$C,ROW()-7):INDEX('Seguimiento Semanal'!$C:$C,ROW()-4)),"🔼 Subiendo","🔻 Bajando")),"N/A"))</f>
        <v>➡️ Estable</v>
      </c>
      <c r="D46" s="80">
        <f t="array" ref="D46">IFERROR(AVERAGE(INDEX('Seguimiento Semanal'!$E:$E,MAX(2,ROW()-3)):INDEX('Seguimiento Semanal'!$E:$E,ROW())),"")</f>
        <v>0</v>
      </c>
      <c r="E46" s="79" t="str">
        <f t="array" ref="E46">IF(ROW()&lt;9,"N/A",IFERROR(IF(ABS(D46-AVERAGE(INDEX('Seguimiento Semanal'!$E:$E,ROW()-7):INDEX('Seguimiento Semanal'!$E:$E,ROW()-4)))&lt;=ABS(AVERAGE(INDEX('Seguimiento Semanal'!$E:$E,ROW()-7):INDEX('Seguimiento Semanal'!$E:$E,ROW()-4)))*1%,"➡️ Estable",IF(D46&gt;AVERAGE(INDEX('Seguimiento Semanal'!$E:$E,ROW()-7):INDEX('Seguimiento Semanal'!$E:$E,ROW()-4)),"🔼 Subiendo","🔻 Bajando")),"N/A"))</f>
        <v>➡️ Estable</v>
      </c>
      <c r="F46" s="80">
        <f t="array" ref="F46">IFERROR(AVERAGE(INDEX('Seguimiento Semanal'!$G:$G,MAX(2,ROW()-3)):INDEX('Seguimiento Semanal'!$G:$G,ROW())),"")</f>
        <v>0</v>
      </c>
      <c r="G46" s="79" t="str">
        <f t="array" ref="G46">IF(ROW()&lt;9,"N/A",IFERROR(IF(ABS(F46-AVERAGE(INDEX('Seguimiento Semanal'!$G:$G,ROW()-7):INDEX('Seguimiento Semanal'!$G:$G,ROW()-4)))&lt;=ABS(AVERAGE(INDEX('Seguimiento Semanal'!$G:$G,ROW()-7):INDEX('Seguimiento Semanal'!$G:$G,ROW()-4)))*1%,"➡️ Estable",IF(F46&gt;AVERAGE(INDEX('Seguimiento Semanal'!$G:$G,ROW()-7):INDEX('Seguimiento Semanal'!$G:$G,ROW()-4)),"🔼 Subiendo","🔻 Bajando")),"N/A"))</f>
        <v>➡️ Estable</v>
      </c>
      <c r="H46" s="80">
        <f t="array" ref="H46">IFERROR(AVERAGE(INDEX('Seguimiento Semanal'!$I:$I,MAX(2,ROW()-3)):INDEX('Seguimiento Semanal'!$I:$I,ROW())),"")</f>
        <v>0</v>
      </c>
      <c r="I46" s="79" t="str">
        <f t="array" ref="I46">IF(ROW()&lt;9,"N/A",IFERROR(IF(ABS(H46-AVERAGE(INDEX('Seguimiento Semanal'!$I:$I,ROW()-7):INDEX('Seguimiento Semanal'!$I:$I,ROW()-4)))&lt;=ABS(AVERAGE(INDEX('Seguimiento Semanal'!$I:$I,ROW()-7):INDEX('Seguimiento Semanal'!$I:$I,ROW()-4)))*1%,"➡️ Estable",IF(H46&gt;AVERAGE(INDEX('Seguimiento Semanal'!$I:$I,ROW()-7):INDEX('Seguimiento Semanal'!$I:$I,ROW()-4)),"🔼 Subiendo","🔻 Bajando")),"N/A"))</f>
        <v>➡️ Estable</v>
      </c>
      <c r="J46" s="80">
        <f t="array" ref="J46">IFERROR(AVERAGE(INDEX('Seguimiento Semanal'!$K:$K,MAX(2,ROW()-3)):INDEX('Seguimiento Semanal'!$K:$K,ROW())),"")</f>
        <v>0</v>
      </c>
      <c r="K46" s="79" t="str">
        <f t="array" ref="K46">IF(ROW()&lt;9,"N/A",IFERROR(IF(ABS(J46-AVERAGE(INDEX('Seguimiento Semanal'!$K:$K,ROW()-7):INDEX('Seguimiento Semanal'!$K:$K,ROW()-4)))&lt;=ABS(AVERAGE(INDEX('Seguimiento Semanal'!$K:$K,ROW()-7):INDEX('Seguimiento Semanal'!$K:$K,ROW()-4)))*1%,"➡️ Estable",IF(J46&gt;AVERAGE(INDEX('Seguimiento Semanal'!$K:$K,ROW()-7):INDEX('Seguimiento Semanal'!$K:$K,ROW()-4)),"🔼 Subiendo","🔻 Bajando")),"N/A"))</f>
        <v>➡️ Estable</v>
      </c>
      <c r="L46" s="80">
        <f t="array" ref="L46">IFERROR(AVERAGE(INDEX('Seguimiento Semanal'!$M:$M,MAX(2,ROW()-3)):INDEX('Seguimiento Semanal'!$M:$M,ROW())),"")</f>
        <v>0</v>
      </c>
      <c r="M46" s="79" t="str">
        <f t="array" ref="M46">IF(ROW()&lt;9,"N/A",IFERROR(IF(ABS(L46-AVERAGE(INDEX('Seguimiento Semanal'!$M:$M,ROW()-7):INDEX('Seguimiento Semanal'!$M:$M,ROW()-4)))&lt;=ABS(AVERAGE(INDEX('Seguimiento Semanal'!$M:$M,ROW()-7):INDEX('Seguimiento Semanal'!$M:$M,ROW()-4)))*1%,"➡️ Estable",IF(L46&gt;AVERAGE(INDEX('Seguimiento Semanal'!$M:$M,ROW()-7):INDEX('Seguimiento Semanal'!$M:$M,ROW()-4)),"🔼 Subiendo","🔻 Bajando")),"N/A"))</f>
        <v>➡️ Estable</v>
      </c>
      <c r="N46" s="79">
        <f t="array" ref="N46">IFERROR(AVERAGE(INDEX('Seguimiento Semanal'!$N:$N,MAX(2,ROW()-3)):INDEX('Seguimiento Semanal'!$N:$N,ROW())),"")</f>
        <v>0</v>
      </c>
      <c r="O46" s="79" t="str">
        <f t="array" ref="O46">IF(ROW()&lt;9,"N/A",IFERROR(IF(ABS(N46-AVERAGE(INDEX('Seguimiento Semanal'!$N:$N,ROW()-7):INDEX('Seguimiento Semanal'!$N:$N,ROW()-4)))&lt;=ABS(AVERAGE(INDEX('Seguimiento Semanal'!$N:$N,ROW()-7):INDEX('Seguimiento Semanal'!$N:$N,ROW()-4)))*1%,"➡️ Estable",IF(N46&gt;AVERAGE(INDEX('Seguimiento Semanal'!$N:$N,ROW()-7):INDEX('Seguimiento Semanal'!$N:$N,ROW()-4)),"🔼 Subiendo","🔻 Bajando")),"N/A"))</f>
        <v>➡️ Estable</v>
      </c>
    </row>
    <row r="47" ht="15.75" customHeight="1">
      <c r="A47" s="79" t="str">
        <f>'Seguimiento Semanal'!A47</f>
        <v>Sem 46</v>
      </c>
      <c r="B47" s="79">
        <f t="array" ref="B47">IFERROR(AVERAGE(INDEX('Seguimiento Semanal'!$C:$C,MAX(2,ROW()-3)):INDEX('Seguimiento Semanal'!$C:$C,ROW())),"")</f>
        <v>0</v>
      </c>
      <c r="C47" s="79" t="str">
        <f t="array" ref="C47">IF(ROW()&lt;9,"N/A",IFERROR(IF(ABS(B47-AVERAGE(INDEX('Seguimiento Semanal'!$C:$C,ROW()-7):INDEX('Seguimiento Semanal'!$C:$C,ROW()-4)))&lt;=ABS(AVERAGE(INDEX('Seguimiento Semanal'!$C:$C,ROW()-7):INDEX('Seguimiento Semanal'!$C:$C,ROW()-4)))*1%,"➡️ Estable",IF(B47&gt;AVERAGE(INDEX('Seguimiento Semanal'!$C:$C,ROW()-7):INDEX('Seguimiento Semanal'!$C:$C,ROW()-4)),"🔼 Subiendo","🔻 Bajando")),"N/A"))</f>
        <v>➡️ Estable</v>
      </c>
      <c r="D47" s="80">
        <f t="array" ref="D47">IFERROR(AVERAGE(INDEX('Seguimiento Semanal'!$E:$E,MAX(2,ROW()-3)):INDEX('Seguimiento Semanal'!$E:$E,ROW())),"")</f>
        <v>0</v>
      </c>
      <c r="E47" s="79" t="str">
        <f t="array" ref="E47">IF(ROW()&lt;9,"N/A",IFERROR(IF(ABS(D47-AVERAGE(INDEX('Seguimiento Semanal'!$E:$E,ROW()-7):INDEX('Seguimiento Semanal'!$E:$E,ROW()-4)))&lt;=ABS(AVERAGE(INDEX('Seguimiento Semanal'!$E:$E,ROW()-7):INDEX('Seguimiento Semanal'!$E:$E,ROW()-4)))*1%,"➡️ Estable",IF(D47&gt;AVERAGE(INDEX('Seguimiento Semanal'!$E:$E,ROW()-7):INDEX('Seguimiento Semanal'!$E:$E,ROW()-4)),"🔼 Subiendo","🔻 Bajando")),"N/A"))</f>
        <v>➡️ Estable</v>
      </c>
      <c r="F47" s="80">
        <f t="array" ref="F47">IFERROR(AVERAGE(INDEX('Seguimiento Semanal'!$G:$G,MAX(2,ROW()-3)):INDEX('Seguimiento Semanal'!$G:$G,ROW())),"")</f>
        <v>0</v>
      </c>
      <c r="G47" s="79" t="str">
        <f t="array" ref="G47">IF(ROW()&lt;9,"N/A",IFERROR(IF(ABS(F47-AVERAGE(INDEX('Seguimiento Semanal'!$G:$G,ROW()-7):INDEX('Seguimiento Semanal'!$G:$G,ROW()-4)))&lt;=ABS(AVERAGE(INDEX('Seguimiento Semanal'!$G:$G,ROW()-7):INDEX('Seguimiento Semanal'!$G:$G,ROW()-4)))*1%,"➡️ Estable",IF(F47&gt;AVERAGE(INDEX('Seguimiento Semanal'!$G:$G,ROW()-7):INDEX('Seguimiento Semanal'!$G:$G,ROW()-4)),"🔼 Subiendo","🔻 Bajando")),"N/A"))</f>
        <v>➡️ Estable</v>
      </c>
      <c r="H47" s="80">
        <f t="array" ref="H47">IFERROR(AVERAGE(INDEX('Seguimiento Semanal'!$I:$I,MAX(2,ROW()-3)):INDEX('Seguimiento Semanal'!$I:$I,ROW())),"")</f>
        <v>0</v>
      </c>
      <c r="I47" s="79" t="str">
        <f t="array" ref="I47">IF(ROW()&lt;9,"N/A",IFERROR(IF(ABS(H47-AVERAGE(INDEX('Seguimiento Semanal'!$I:$I,ROW()-7):INDEX('Seguimiento Semanal'!$I:$I,ROW()-4)))&lt;=ABS(AVERAGE(INDEX('Seguimiento Semanal'!$I:$I,ROW()-7):INDEX('Seguimiento Semanal'!$I:$I,ROW()-4)))*1%,"➡️ Estable",IF(H47&gt;AVERAGE(INDEX('Seguimiento Semanal'!$I:$I,ROW()-7):INDEX('Seguimiento Semanal'!$I:$I,ROW()-4)),"🔼 Subiendo","🔻 Bajando")),"N/A"))</f>
        <v>➡️ Estable</v>
      </c>
      <c r="J47" s="80">
        <f t="array" ref="J47">IFERROR(AVERAGE(INDEX('Seguimiento Semanal'!$K:$K,MAX(2,ROW()-3)):INDEX('Seguimiento Semanal'!$K:$K,ROW())),"")</f>
        <v>0</v>
      </c>
      <c r="K47" s="79" t="str">
        <f t="array" ref="K47">IF(ROW()&lt;9,"N/A",IFERROR(IF(ABS(J47-AVERAGE(INDEX('Seguimiento Semanal'!$K:$K,ROW()-7):INDEX('Seguimiento Semanal'!$K:$K,ROW()-4)))&lt;=ABS(AVERAGE(INDEX('Seguimiento Semanal'!$K:$K,ROW()-7):INDEX('Seguimiento Semanal'!$K:$K,ROW()-4)))*1%,"➡️ Estable",IF(J47&gt;AVERAGE(INDEX('Seguimiento Semanal'!$K:$K,ROW()-7):INDEX('Seguimiento Semanal'!$K:$K,ROW()-4)),"🔼 Subiendo","🔻 Bajando")),"N/A"))</f>
        <v>➡️ Estable</v>
      </c>
      <c r="L47" s="80">
        <f t="array" ref="L47">IFERROR(AVERAGE(INDEX('Seguimiento Semanal'!$M:$M,MAX(2,ROW()-3)):INDEX('Seguimiento Semanal'!$M:$M,ROW())),"")</f>
        <v>0</v>
      </c>
      <c r="M47" s="79" t="str">
        <f t="array" ref="M47">IF(ROW()&lt;9,"N/A",IFERROR(IF(ABS(L47-AVERAGE(INDEX('Seguimiento Semanal'!$M:$M,ROW()-7):INDEX('Seguimiento Semanal'!$M:$M,ROW()-4)))&lt;=ABS(AVERAGE(INDEX('Seguimiento Semanal'!$M:$M,ROW()-7):INDEX('Seguimiento Semanal'!$M:$M,ROW()-4)))*1%,"➡️ Estable",IF(L47&gt;AVERAGE(INDEX('Seguimiento Semanal'!$M:$M,ROW()-7):INDEX('Seguimiento Semanal'!$M:$M,ROW()-4)),"🔼 Subiendo","🔻 Bajando")),"N/A"))</f>
        <v>➡️ Estable</v>
      </c>
      <c r="N47" s="79">
        <f t="array" ref="N47">IFERROR(AVERAGE(INDEX('Seguimiento Semanal'!$N:$N,MAX(2,ROW()-3)):INDEX('Seguimiento Semanal'!$N:$N,ROW())),"")</f>
        <v>0</v>
      </c>
      <c r="O47" s="79" t="str">
        <f t="array" ref="O47">IF(ROW()&lt;9,"N/A",IFERROR(IF(ABS(N47-AVERAGE(INDEX('Seguimiento Semanal'!$N:$N,ROW()-7):INDEX('Seguimiento Semanal'!$N:$N,ROW()-4)))&lt;=ABS(AVERAGE(INDEX('Seguimiento Semanal'!$N:$N,ROW()-7):INDEX('Seguimiento Semanal'!$N:$N,ROW()-4)))*1%,"➡️ Estable",IF(N47&gt;AVERAGE(INDEX('Seguimiento Semanal'!$N:$N,ROW()-7):INDEX('Seguimiento Semanal'!$N:$N,ROW()-4)),"🔼 Subiendo","🔻 Bajando")),"N/A"))</f>
        <v>➡️ Estable</v>
      </c>
    </row>
    <row r="48" ht="15.75" customHeight="1">
      <c r="A48" s="79" t="str">
        <f>'Seguimiento Semanal'!A48</f>
        <v>Sem 47</v>
      </c>
      <c r="B48" s="79">
        <f t="array" ref="B48">IFERROR(AVERAGE(INDEX('Seguimiento Semanal'!$C:$C,MAX(2,ROW()-3)):INDEX('Seguimiento Semanal'!$C:$C,ROW())),"")</f>
        <v>0</v>
      </c>
      <c r="C48" s="79" t="str">
        <f t="array" ref="C48">IF(ROW()&lt;9,"N/A",IFERROR(IF(ABS(B48-AVERAGE(INDEX('Seguimiento Semanal'!$C:$C,ROW()-7):INDEX('Seguimiento Semanal'!$C:$C,ROW()-4)))&lt;=ABS(AVERAGE(INDEX('Seguimiento Semanal'!$C:$C,ROW()-7):INDEX('Seguimiento Semanal'!$C:$C,ROW()-4)))*1%,"➡️ Estable",IF(B48&gt;AVERAGE(INDEX('Seguimiento Semanal'!$C:$C,ROW()-7):INDEX('Seguimiento Semanal'!$C:$C,ROW()-4)),"🔼 Subiendo","🔻 Bajando")),"N/A"))</f>
        <v>➡️ Estable</v>
      </c>
      <c r="D48" s="80">
        <f t="array" ref="D48">IFERROR(AVERAGE(INDEX('Seguimiento Semanal'!$E:$E,MAX(2,ROW()-3)):INDEX('Seguimiento Semanal'!$E:$E,ROW())),"")</f>
        <v>0</v>
      </c>
      <c r="E48" s="79" t="str">
        <f t="array" ref="E48">IF(ROW()&lt;9,"N/A",IFERROR(IF(ABS(D48-AVERAGE(INDEX('Seguimiento Semanal'!$E:$E,ROW()-7):INDEX('Seguimiento Semanal'!$E:$E,ROW()-4)))&lt;=ABS(AVERAGE(INDEX('Seguimiento Semanal'!$E:$E,ROW()-7):INDEX('Seguimiento Semanal'!$E:$E,ROW()-4)))*1%,"➡️ Estable",IF(D48&gt;AVERAGE(INDEX('Seguimiento Semanal'!$E:$E,ROW()-7):INDEX('Seguimiento Semanal'!$E:$E,ROW()-4)),"🔼 Subiendo","🔻 Bajando")),"N/A"))</f>
        <v>➡️ Estable</v>
      </c>
      <c r="F48" s="80">
        <f t="array" ref="F48">IFERROR(AVERAGE(INDEX('Seguimiento Semanal'!$G:$G,MAX(2,ROW()-3)):INDEX('Seguimiento Semanal'!$G:$G,ROW())),"")</f>
        <v>0</v>
      </c>
      <c r="G48" s="79" t="str">
        <f t="array" ref="G48">IF(ROW()&lt;9,"N/A",IFERROR(IF(ABS(F48-AVERAGE(INDEX('Seguimiento Semanal'!$G:$G,ROW()-7):INDEX('Seguimiento Semanal'!$G:$G,ROW()-4)))&lt;=ABS(AVERAGE(INDEX('Seguimiento Semanal'!$G:$G,ROW()-7):INDEX('Seguimiento Semanal'!$G:$G,ROW()-4)))*1%,"➡️ Estable",IF(F48&gt;AVERAGE(INDEX('Seguimiento Semanal'!$G:$G,ROW()-7):INDEX('Seguimiento Semanal'!$G:$G,ROW()-4)),"🔼 Subiendo","🔻 Bajando")),"N/A"))</f>
        <v>➡️ Estable</v>
      </c>
      <c r="H48" s="80">
        <f t="array" ref="H48">IFERROR(AVERAGE(INDEX('Seguimiento Semanal'!$I:$I,MAX(2,ROW()-3)):INDEX('Seguimiento Semanal'!$I:$I,ROW())),"")</f>
        <v>0</v>
      </c>
      <c r="I48" s="79" t="str">
        <f t="array" ref="I48">IF(ROW()&lt;9,"N/A",IFERROR(IF(ABS(H48-AVERAGE(INDEX('Seguimiento Semanal'!$I:$I,ROW()-7):INDEX('Seguimiento Semanal'!$I:$I,ROW()-4)))&lt;=ABS(AVERAGE(INDEX('Seguimiento Semanal'!$I:$I,ROW()-7):INDEX('Seguimiento Semanal'!$I:$I,ROW()-4)))*1%,"➡️ Estable",IF(H48&gt;AVERAGE(INDEX('Seguimiento Semanal'!$I:$I,ROW()-7):INDEX('Seguimiento Semanal'!$I:$I,ROW()-4)),"🔼 Subiendo","🔻 Bajando")),"N/A"))</f>
        <v>➡️ Estable</v>
      </c>
      <c r="J48" s="80">
        <f t="array" ref="J48">IFERROR(AVERAGE(INDEX('Seguimiento Semanal'!$K:$K,MAX(2,ROW()-3)):INDEX('Seguimiento Semanal'!$K:$K,ROW())),"")</f>
        <v>0</v>
      </c>
      <c r="K48" s="79" t="str">
        <f t="array" ref="K48">IF(ROW()&lt;9,"N/A",IFERROR(IF(ABS(J48-AVERAGE(INDEX('Seguimiento Semanal'!$K:$K,ROW()-7):INDEX('Seguimiento Semanal'!$K:$K,ROW()-4)))&lt;=ABS(AVERAGE(INDEX('Seguimiento Semanal'!$K:$K,ROW()-7):INDEX('Seguimiento Semanal'!$K:$K,ROW()-4)))*1%,"➡️ Estable",IF(J48&gt;AVERAGE(INDEX('Seguimiento Semanal'!$K:$K,ROW()-7):INDEX('Seguimiento Semanal'!$K:$K,ROW()-4)),"🔼 Subiendo","🔻 Bajando")),"N/A"))</f>
        <v>➡️ Estable</v>
      </c>
      <c r="L48" s="80">
        <f t="array" ref="L48">IFERROR(AVERAGE(INDEX('Seguimiento Semanal'!$M:$M,MAX(2,ROW()-3)):INDEX('Seguimiento Semanal'!$M:$M,ROW())),"")</f>
        <v>0</v>
      </c>
      <c r="M48" s="79" t="str">
        <f t="array" ref="M48">IF(ROW()&lt;9,"N/A",IFERROR(IF(ABS(L48-AVERAGE(INDEX('Seguimiento Semanal'!$M:$M,ROW()-7):INDEX('Seguimiento Semanal'!$M:$M,ROW()-4)))&lt;=ABS(AVERAGE(INDEX('Seguimiento Semanal'!$M:$M,ROW()-7):INDEX('Seguimiento Semanal'!$M:$M,ROW()-4)))*1%,"➡️ Estable",IF(L48&gt;AVERAGE(INDEX('Seguimiento Semanal'!$M:$M,ROW()-7):INDEX('Seguimiento Semanal'!$M:$M,ROW()-4)),"🔼 Subiendo","🔻 Bajando")),"N/A"))</f>
        <v>➡️ Estable</v>
      </c>
      <c r="N48" s="79">
        <f t="array" ref="N48">IFERROR(AVERAGE(INDEX('Seguimiento Semanal'!$N:$N,MAX(2,ROW()-3)):INDEX('Seguimiento Semanal'!$N:$N,ROW())),"")</f>
        <v>0</v>
      </c>
      <c r="O48" s="79" t="str">
        <f t="array" ref="O48">IF(ROW()&lt;9,"N/A",IFERROR(IF(ABS(N48-AVERAGE(INDEX('Seguimiento Semanal'!$N:$N,ROW()-7):INDEX('Seguimiento Semanal'!$N:$N,ROW()-4)))&lt;=ABS(AVERAGE(INDEX('Seguimiento Semanal'!$N:$N,ROW()-7):INDEX('Seguimiento Semanal'!$N:$N,ROW()-4)))*1%,"➡️ Estable",IF(N48&gt;AVERAGE(INDEX('Seguimiento Semanal'!$N:$N,ROW()-7):INDEX('Seguimiento Semanal'!$N:$N,ROW()-4)),"🔼 Subiendo","🔻 Bajando")),"N/A"))</f>
        <v>➡️ Estable</v>
      </c>
    </row>
    <row r="49" ht="15.75" customHeight="1">
      <c r="A49" s="79" t="str">
        <f>'Seguimiento Semanal'!A49</f>
        <v>Sem 48</v>
      </c>
      <c r="B49" s="79">
        <f t="array" ref="B49">IFERROR(AVERAGE(INDEX('Seguimiento Semanal'!$C:$C,MAX(2,ROW()-3)):INDEX('Seguimiento Semanal'!$C:$C,ROW())),"")</f>
        <v>0</v>
      </c>
      <c r="C49" s="79" t="str">
        <f t="array" ref="C49">IF(ROW()&lt;9,"N/A",IFERROR(IF(ABS(B49-AVERAGE(INDEX('Seguimiento Semanal'!$C:$C,ROW()-7):INDEX('Seguimiento Semanal'!$C:$C,ROW()-4)))&lt;=ABS(AVERAGE(INDEX('Seguimiento Semanal'!$C:$C,ROW()-7):INDEX('Seguimiento Semanal'!$C:$C,ROW()-4)))*1%,"➡️ Estable",IF(B49&gt;AVERAGE(INDEX('Seguimiento Semanal'!$C:$C,ROW()-7):INDEX('Seguimiento Semanal'!$C:$C,ROW()-4)),"🔼 Subiendo","🔻 Bajando")),"N/A"))</f>
        <v>➡️ Estable</v>
      </c>
      <c r="D49" s="80">
        <f t="array" ref="D49">IFERROR(AVERAGE(INDEX('Seguimiento Semanal'!$E:$E,MAX(2,ROW()-3)):INDEX('Seguimiento Semanal'!$E:$E,ROW())),"")</f>
        <v>0</v>
      </c>
      <c r="E49" s="79" t="str">
        <f t="array" ref="E49">IF(ROW()&lt;9,"N/A",IFERROR(IF(ABS(D49-AVERAGE(INDEX('Seguimiento Semanal'!$E:$E,ROW()-7):INDEX('Seguimiento Semanal'!$E:$E,ROW()-4)))&lt;=ABS(AVERAGE(INDEX('Seguimiento Semanal'!$E:$E,ROW()-7):INDEX('Seguimiento Semanal'!$E:$E,ROW()-4)))*1%,"➡️ Estable",IF(D49&gt;AVERAGE(INDEX('Seguimiento Semanal'!$E:$E,ROW()-7):INDEX('Seguimiento Semanal'!$E:$E,ROW()-4)),"🔼 Subiendo","🔻 Bajando")),"N/A"))</f>
        <v>➡️ Estable</v>
      </c>
      <c r="F49" s="80">
        <f t="array" ref="F49">IFERROR(AVERAGE(INDEX('Seguimiento Semanal'!$G:$G,MAX(2,ROW()-3)):INDEX('Seguimiento Semanal'!$G:$G,ROW())),"")</f>
        <v>0</v>
      </c>
      <c r="G49" s="79" t="str">
        <f t="array" ref="G49">IF(ROW()&lt;9,"N/A",IFERROR(IF(ABS(F49-AVERAGE(INDEX('Seguimiento Semanal'!$G:$G,ROW()-7):INDEX('Seguimiento Semanal'!$G:$G,ROW()-4)))&lt;=ABS(AVERAGE(INDEX('Seguimiento Semanal'!$G:$G,ROW()-7):INDEX('Seguimiento Semanal'!$G:$G,ROW()-4)))*1%,"➡️ Estable",IF(F49&gt;AVERAGE(INDEX('Seguimiento Semanal'!$G:$G,ROW()-7):INDEX('Seguimiento Semanal'!$G:$G,ROW()-4)),"🔼 Subiendo","🔻 Bajando")),"N/A"))</f>
        <v>➡️ Estable</v>
      </c>
      <c r="H49" s="80">
        <f t="array" ref="H49">IFERROR(AVERAGE(INDEX('Seguimiento Semanal'!$I:$I,MAX(2,ROW()-3)):INDEX('Seguimiento Semanal'!$I:$I,ROW())),"")</f>
        <v>0</v>
      </c>
      <c r="I49" s="79" t="str">
        <f t="array" ref="I49">IF(ROW()&lt;9,"N/A",IFERROR(IF(ABS(H49-AVERAGE(INDEX('Seguimiento Semanal'!$I:$I,ROW()-7):INDEX('Seguimiento Semanal'!$I:$I,ROW()-4)))&lt;=ABS(AVERAGE(INDEX('Seguimiento Semanal'!$I:$I,ROW()-7):INDEX('Seguimiento Semanal'!$I:$I,ROW()-4)))*1%,"➡️ Estable",IF(H49&gt;AVERAGE(INDEX('Seguimiento Semanal'!$I:$I,ROW()-7):INDEX('Seguimiento Semanal'!$I:$I,ROW()-4)),"🔼 Subiendo","🔻 Bajando")),"N/A"))</f>
        <v>➡️ Estable</v>
      </c>
      <c r="J49" s="80">
        <f t="array" ref="J49">IFERROR(AVERAGE(INDEX('Seguimiento Semanal'!$K:$K,MAX(2,ROW()-3)):INDEX('Seguimiento Semanal'!$K:$K,ROW())),"")</f>
        <v>0</v>
      </c>
      <c r="K49" s="79" t="str">
        <f t="array" ref="K49">IF(ROW()&lt;9,"N/A",IFERROR(IF(ABS(J49-AVERAGE(INDEX('Seguimiento Semanal'!$K:$K,ROW()-7):INDEX('Seguimiento Semanal'!$K:$K,ROW()-4)))&lt;=ABS(AVERAGE(INDEX('Seguimiento Semanal'!$K:$K,ROW()-7):INDEX('Seguimiento Semanal'!$K:$K,ROW()-4)))*1%,"➡️ Estable",IF(J49&gt;AVERAGE(INDEX('Seguimiento Semanal'!$K:$K,ROW()-7):INDEX('Seguimiento Semanal'!$K:$K,ROW()-4)),"🔼 Subiendo","🔻 Bajando")),"N/A"))</f>
        <v>➡️ Estable</v>
      </c>
      <c r="L49" s="80">
        <f t="array" ref="L49">IFERROR(AVERAGE(INDEX('Seguimiento Semanal'!$M:$M,MAX(2,ROW()-3)):INDEX('Seguimiento Semanal'!$M:$M,ROW())),"")</f>
        <v>0</v>
      </c>
      <c r="M49" s="79" t="str">
        <f t="array" ref="M49">IF(ROW()&lt;9,"N/A",IFERROR(IF(ABS(L49-AVERAGE(INDEX('Seguimiento Semanal'!$M:$M,ROW()-7):INDEX('Seguimiento Semanal'!$M:$M,ROW()-4)))&lt;=ABS(AVERAGE(INDEX('Seguimiento Semanal'!$M:$M,ROW()-7):INDEX('Seguimiento Semanal'!$M:$M,ROW()-4)))*1%,"➡️ Estable",IF(L49&gt;AVERAGE(INDEX('Seguimiento Semanal'!$M:$M,ROW()-7):INDEX('Seguimiento Semanal'!$M:$M,ROW()-4)),"🔼 Subiendo","🔻 Bajando")),"N/A"))</f>
        <v>➡️ Estable</v>
      </c>
      <c r="N49" s="79">
        <f t="array" ref="N49">IFERROR(AVERAGE(INDEX('Seguimiento Semanal'!$N:$N,MAX(2,ROW()-3)):INDEX('Seguimiento Semanal'!$N:$N,ROW())),"")</f>
        <v>0</v>
      </c>
      <c r="O49" s="79" t="str">
        <f t="array" ref="O49">IF(ROW()&lt;9,"N/A",IFERROR(IF(ABS(N49-AVERAGE(INDEX('Seguimiento Semanal'!$N:$N,ROW()-7):INDEX('Seguimiento Semanal'!$N:$N,ROW()-4)))&lt;=ABS(AVERAGE(INDEX('Seguimiento Semanal'!$N:$N,ROW()-7):INDEX('Seguimiento Semanal'!$N:$N,ROW()-4)))*1%,"➡️ Estable",IF(N49&gt;AVERAGE(INDEX('Seguimiento Semanal'!$N:$N,ROW()-7):INDEX('Seguimiento Semanal'!$N:$N,ROW()-4)),"🔼 Subiendo","🔻 Bajando")),"N/A"))</f>
        <v>➡️ Estable</v>
      </c>
    </row>
    <row r="50" ht="15.75" customHeight="1">
      <c r="A50" s="79" t="str">
        <f>'Seguimiento Semanal'!A50</f>
        <v>Sem 49</v>
      </c>
      <c r="B50" s="79">
        <f t="array" ref="B50">IFERROR(AVERAGE(INDEX('Seguimiento Semanal'!$C:$C,MAX(2,ROW()-3)):INDEX('Seguimiento Semanal'!$C:$C,ROW())),"")</f>
        <v>0</v>
      </c>
      <c r="C50" s="79" t="str">
        <f t="array" ref="C50">IF(ROW()&lt;9,"N/A",IFERROR(IF(ABS(B50-AVERAGE(INDEX('Seguimiento Semanal'!$C:$C,ROW()-7):INDEX('Seguimiento Semanal'!$C:$C,ROW()-4)))&lt;=ABS(AVERAGE(INDEX('Seguimiento Semanal'!$C:$C,ROW()-7):INDEX('Seguimiento Semanal'!$C:$C,ROW()-4)))*1%,"➡️ Estable",IF(B50&gt;AVERAGE(INDEX('Seguimiento Semanal'!$C:$C,ROW()-7):INDEX('Seguimiento Semanal'!$C:$C,ROW()-4)),"🔼 Subiendo","🔻 Bajando")),"N/A"))</f>
        <v>➡️ Estable</v>
      </c>
      <c r="D50" s="80">
        <f t="array" ref="D50">IFERROR(AVERAGE(INDEX('Seguimiento Semanal'!$E:$E,MAX(2,ROW()-3)):INDEX('Seguimiento Semanal'!$E:$E,ROW())),"")</f>
        <v>0</v>
      </c>
      <c r="E50" s="79" t="str">
        <f t="array" ref="E50">IF(ROW()&lt;9,"N/A",IFERROR(IF(ABS(D50-AVERAGE(INDEX('Seguimiento Semanal'!$E:$E,ROW()-7):INDEX('Seguimiento Semanal'!$E:$E,ROW()-4)))&lt;=ABS(AVERAGE(INDEX('Seguimiento Semanal'!$E:$E,ROW()-7):INDEX('Seguimiento Semanal'!$E:$E,ROW()-4)))*1%,"➡️ Estable",IF(D50&gt;AVERAGE(INDEX('Seguimiento Semanal'!$E:$E,ROW()-7):INDEX('Seguimiento Semanal'!$E:$E,ROW()-4)),"🔼 Subiendo","🔻 Bajando")),"N/A"))</f>
        <v>➡️ Estable</v>
      </c>
      <c r="F50" s="80">
        <f t="array" ref="F50">IFERROR(AVERAGE(INDEX('Seguimiento Semanal'!$G:$G,MAX(2,ROW()-3)):INDEX('Seguimiento Semanal'!$G:$G,ROW())),"")</f>
        <v>0</v>
      </c>
      <c r="G50" s="79" t="str">
        <f t="array" ref="G50">IF(ROW()&lt;9,"N/A",IFERROR(IF(ABS(F50-AVERAGE(INDEX('Seguimiento Semanal'!$G:$G,ROW()-7):INDEX('Seguimiento Semanal'!$G:$G,ROW()-4)))&lt;=ABS(AVERAGE(INDEX('Seguimiento Semanal'!$G:$G,ROW()-7):INDEX('Seguimiento Semanal'!$G:$G,ROW()-4)))*1%,"➡️ Estable",IF(F50&gt;AVERAGE(INDEX('Seguimiento Semanal'!$G:$G,ROW()-7):INDEX('Seguimiento Semanal'!$G:$G,ROW()-4)),"🔼 Subiendo","🔻 Bajando")),"N/A"))</f>
        <v>➡️ Estable</v>
      </c>
      <c r="H50" s="80">
        <f t="array" ref="H50">IFERROR(AVERAGE(INDEX('Seguimiento Semanal'!$I:$I,MAX(2,ROW()-3)):INDEX('Seguimiento Semanal'!$I:$I,ROW())),"")</f>
        <v>0</v>
      </c>
      <c r="I50" s="79" t="str">
        <f t="array" ref="I50">IF(ROW()&lt;9,"N/A",IFERROR(IF(ABS(H50-AVERAGE(INDEX('Seguimiento Semanal'!$I:$I,ROW()-7):INDEX('Seguimiento Semanal'!$I:$I,ROW()-4)))&lt;=ABS(AVERAGE(INDEX('Seguimiento Semanal'!$I:$I,ROW()-7):INDEX('Seguimiento Semanal'!$I:$I,ROW()-4)))*1%,"➡️ Estable",IF(H50&gt;AVERAGE(INDEX('Seguimiento Semanal'!$I:$I,ROW()-7):INDEX('Seguimiento Semanal'!$I:$I,ROW()-4)),"🔼 Subiendo","🔻 Bajando")),"N/A"))</f>
        <v>➡️ Estable</v>
      </c>
      <c r="J50" s="80">
        <f t="array" ref="J50">IFERROR(AVERAGE(INDEX('Seguimiento Semanal'!$K:$K,MAX(2,ROW()-3)):INDEX('Seguimiento Semanal'!$K:$K,ROW())),"")</f>
        <v>0</v>
      </c>
      <c r="K50" s="79" t="str">
        <f t="array" ref="K50">IF(ROW()&lt;9,"N/A",IFERROR(IF(ABS(J50-AVERAGE(INDEX('Seguimiento Semanal'!$K:$K,ROW()-7):INDEX('Seguimiento Semanal'!$K:$K,ROW()-4)))&lt;=ABS(AVERAGE(INDEX('Seguimiento Semanal'!$K:$K,ROW()-7):INDEX('Seguimiento Semanal'!$K:$K,ROW()-4)))*1%,"➡️ Estable",IF(J50&gt;AVERAGE(INDEX('Seguimiento Semanal'!$K:$K,ROW()-7):INDEX('Seguimiento Semanal'!$K:$K,ROW()-4)),"🔼 Subiendo","🔻 Bajando")),"N/A"))</f>
        <v>➡️ Estable</v>
      </c>
      <c r="L50" s="80">
        <f t="array" ref="L50">IFERROR(AVERAGE(INDEX('Seguimiento Semanal'!$M:$M,MAX(2,ROW()-3)):INDEX('Seguimiento Semanal'!$M:$M,ROW())),"")</f>
        <v>0</v>
      </c>
      <c r="M50" s="79" t="str">
        <f t="array" ref="M50">IF(ROW()&lt;9,"N/A",IFERROR(IF(ABS(L50-AVERAGE(INDEX('Seguimiento Semanal'!$M:$M,ROW()-7):INDEX('Seguimiento Semanal'!$M:$M,ROW()-4)))&lt;=ABS(AVERAGE(INDEX('Seguimiento Semanal'!$M:$M,ROW()-7):INDEX('Seguimiento Semanal'!$M:$M,ROW()-4)))*1%,"➡️ Estable",IF(L50&gt;AVERAGE(INDEX('Seguimiento Semanal'!$M:$M,ROW()-7):INDEX('Seguimiento Semanal'!$M:$M,ROW()-4)),"🔼 Subiendo","🔻 Bajando")),"N/A"))</f>
        <v>➡️ Estable</v>
      </c>
      <c r="N50" s="79">
        <f t="array" ref="N50">IFERROR(AVERAGE(INDEX('Seguimiento Semanal'!$N:$N,MAX(2,ROW()-3)):INDEX('Seguimiento Semanal'!$N:$N,ROW())),"")</f>
        <v>0</v>
      </c>
      <c r="O50" s="79" t="str">
        <f t="array" ref="O50">IF(ROW()&lt;9,"N/A",IFERROR(IF(ABS(N50-AVERAGE(INDEX('Seguimiento Semanal'!$N:$N,ROW()-7):INDEX('Seguimiento Semanal'!$N:$N,ROW()-4)))&lt;=ABS(AVERAGE(INDEX('Seguimiento Semanal'!$N:$N,ROW()-7):INDEX('Seguimiento Semanal'!$N:$N,ROW()-4)))*1%,"➡️ Estable",IF(N50&gt;AVERAGE(INDEX('Seguimiento Semanal'!$N:$N,ROW()-7):INDEX('Seguimiento Semanal'!$N:$N,ROW()-4)),"🔼 Subiendo","🔻 Bajando")),"N/A"))</f>
        <v>➡️ Estable</v>
      </c>
    </row>
    <row r="51" ht="15.75" customHeight="1">
      <c r="A51" s="79" t="str">
        <f>'Seguimiento Semanal'!A51</f>
        <v>Sem 50</v>
      </c>
      <c r="B51" s="79">
        <f t="array" ref="B51">IFERROR(AVERAGE(INDEX('Seguimiento Semanal'!$C:$C,MAX(2,ROW()-3)):INDEX('Seguimiento Semanal'!$C:$C,ROW())),"")</f>
        <v>0</v>
      </c>
      <c r="C51" s="79" t="str">
        <f t="array" ref="C51">IF(ROW()&lt;9,"N/A",IFERROR(IF(ABS(B51-AVERAGE(INDEX('Seguimiento Semanal'!$C:$C,ROW()-7):INDEX('Seguimiento Semanal'!$C:$C,ROW()-4)))&lt;=ABS(AVERAGE(INDEX('Seguimiento Semanal'!$C:$C,ROW()-7):INDEX('Seguimiento Semanal'!$C:$C,ROW()-4)))*1%,"➡️ Estable",IF(B51&gt;AVERAGE(INDEX('Seguimiento Semanal'!$C:$C,ROW()-7):INDEX('Seguimiento Semanal'!$C:$C,ROW()-4)),"🔼 Subiendo","🔻 Bajando")),"N/A"))</f>
        <v>➡️ Estable</v>
      </c>
      <c r="D51" s="80">
        <f t="array" ref="D51">IFERROR(AVERAGE(INDEX('Seguimiento Semanal'!$E:$E,MAX(2,ROW()-3)):INDEX('Seguimiento Semanal'!$E:$E,ROW())),"")</f>
        <v>0</v>
      </c>
      <c r="E51" s="79" t="str">
        <f t="array" ref="E51">IF(ROW()&lt;9,"N/A",IFERROR(IF(ABS(D51-AVERAGE(INDEX('Seguimiento Semanal'!$E:$E,ROW()-7):INDEX('Seguimiento Semanal'!$E:$E,ROW()-4)))&lt;=ABS(AVERAGE(INDEX('Seguimiento Semanal'!$E:$E,ROW()-7):INDEX('Seguimiento Semanal'!$E:$E,ROW()-4)))*1%,"➡️ Estable",IF(D51&gt;AVERAGE(INDEX('Seguimiento Semanal'!$E:$E,ROW()-7):INDEX('Seguimiento Semanal'!$E:$E,ROW()-4)),"🔼 Subiendo","🔻 Bajando")),"N/A"))</f>
        <v>➡️ Estable</v>
      </c>
      <c r="F51" s="80">
        <f t="array" ref="F51">IFERROR(AVERAGE(INDEX('Seguimiento Semanal'!$G:$G,MAX(2,ROW()-3)):INDEX('Seguimiento Semanal'!$G:$G,ROW())),"")</f>
        <v>0</v>
      </c>
      <c r="G51" s="79" t="str">
        <f t="array" ref="G51">IF(ROW()&lt;9,"N/A",IFERROR(IF(ABS(F51-AVERAGE(INDEX('Seguimiento Semanal'!$G:$G,ROW()-7):INDEX('Seguimiento Semanal'!$G:$G,ROW()-4)))&lt;=ABS(AVERAGE(INDEX('Seguimiento Semanal'!$G:$G,ROW()-7):INDEX('Seguimiento Semanal'!$G:$G,ROW()-4)))*1%,"➡️ Estable",IF(F51&gt;AVERAGE(INDEX('Seguimiento Semanal'!$G:$G,ROW()-7):INDEX('Seguimiento Semanal'!$G:$G,ROW()-4)),"🔼 Subiendo","🔻 Bajando")),"N/A"))</f>
        <v>➡️ Estable</v>
      </c>
      <c r="H51" s="80">
        <f t="array" ref="H51">IFERROR(AVERAGE(INDEX('Seguimiento Semanal'!$I:$I,MAX(2,ROW()-3)):INDEX('Seguimiento Semanal'!$I:$I,ROW())),"")</f>
        <v>0</v>
      </c>
      <c r="I51" s="79" t="str">
        <f t="array" ref="I51">IF(ROW()&lt;9,"N/A",IFERROR(IF(ABS(H51-AVERAGE(INDEX('Seguimiento Semanal'!$I:$I,ROW()-7):INDEX('Seguimiento Semanal'!$I:$I,ROW()-4)))&lt;=ABS(AVERAGE(INDEX('Seguimiento Semanal'!$I:$I,ROW()-7):INDEX('Seguimiento Semanal'!$I:$I,ROW()-4)))*1%,"➡️ Estable",IF(H51&gt;AVERAGE(INDEX('Seguimiento Semanal'!$I:$I,ROW()-7):INDEX('Seguimiento Semanal'!$I:$I,ROW()-4)),"🔼 Subiendo","🔻 Bajando")),"N/A"))</f>
        <v>➡️ Estable</v>
      </c>
      <c r="J51" s="80">
        <f t="array" ref="J51">IFERROR(AVERAGE(INDEX('Seguimiento Semanal'!$K:$K,MAX(2,ROW()-3)):INDEX('Seguimiento Semanal'!$K:$K,ROW())),"")</f>
        <v>0</v>
      </c>
      <c r="K51" s="79" t="str">
        <f t="array" ref="K51">IF(ROW()&lt;9,"N/A",IFERROR(IF(ABS(J51-AVERAGE(INDEX('Seguimiento Semanal'!$K:$K,ROW()-7):INDEX('Seguimiento Semanal'!$K:$K,ROW()-4)))&lt;=ABS(AVERAGE(INDEX('Seguimiento Semanal'!$K:$K,ROW()-7):INDEX('Seguimiento Semanal'!$K:$K,ROW()-4)))*1%,"➡️ Estable",IF(J51&gt;AVERAGE(INDEX('Seguimiento Semanal'!$K:$K,ROW()-7):INDEX('Seguimiento Semanal'!$K:$K,ROW()-4)),"🔼 Subiendo","🔻 Bajando")),"N/A"))</f>
        <v>➡️ Estable</v>
      </c>
      <c r="L51" s="80">
        <f t="array" ref="L51">IFERROR(AVERAGE(INDEX('Seguimiento Semanal'!$M:$M,MAX(2,ROW()-3)):INDEX('Seguimiento Semanal'!$M:$M,ROW())),"")</f>
        <v>0</v>
      </c>
      <c r="M51" s="79" t="str">
        <f t="array" ref="M51">IF(ROW()&lt;9,"N/A",IFERROR(IF(ABS(L51-AVERAGE(INDEX('Seguimiento Semanal'!$M:$M,ROW()-7):INDEX('Seguimiento Semanal'!$M:$M,ROW()-4)))&lt;=ABS(AVERAGE(INDEX('Seguimiento Semanal'!$M:$M,ROW()-7):INDEX('Seguimiento Semanal'!$M:$M,ROW()-4)))*1%,"➡️ Estable",IF(L51&gt;AVERAGE(INDEX('Seguimiento Semanal'!$M:$M,ROW()-7):INDEX('Seguimiento Semanal'!$M:$M,ROW()-4)),"🔼 Subiendo","🔻 Bajando")),"N/A"))</f>
        <v>➡️ Estable</v>
      </c>
      <c r="N51" s="79">
        <f t="array" ref="N51">IFERROR(AVERAGE(INDEX('Seguimiento Semanal'!$N:$N,MAX(2,ROW()-3)):INDEX('Seguimiento Semanal'!$N:$N,ROW())),"")</f>
        <v>0</v>
      </c>
      <c r="O51" s="79" t="str">
        <f t="array" ref="O51">IF(ROW()&lt;9,"N/A",IFERROR(IF(ABS(N51-AVERAGE(INDEX('Seguimiento Semanal'!$N:$N,ROW()-7):INDEX('Seguimiento Semanal'!$N:$N,ROW()-4)))&lt;=ABS(AVERAGE(INDEX('Seguimiento Semanal'!$N:$N,ROW()-7):INDEX('Seguimiento Semanal'!$N:$N,ROW()-4)))*1%,"➡️ Estable",IF(N51&gt;AVERAGE(INDEX('Seguimiento Semanal'!$N:$N,ROW()-7):INDEX('Seguimiento Semanal'!$N:$N,ROW()-4)),"🔼 Subiendo","🔻 Bajando")),"N/A"))</f>
        <v>➡️ Estable</v>
      </c>
    </row>
    <row r="52" ht="15.75" customHeight="1">
      <c r="A52" s="79" t="str">
        <f>'Seguimiento Semanal'!A52</f>
        <v>Sem 51</v>
      </c>
      <c r="B52" s="79">
        <f t="array" ref="B52">IFERROR(AVERAGE(INDEX('Seguimiento Semanal'!$C:$C,MAX(2,ROW()-3)):INDEX('Seguimiento Semanal'!$C:$C,ROW())),"")</f>
        <v>0</v>
      </c>
      <c r="C52" s="79" t="str">
        <f t="array" ref="C52">IF(ROW()&lt;9,"N/A",IFERROR(IF(ABS(B52-AVERAGE(INDEX('Seguimiento Semanal'!$C:$C,ROW()-7):INDEX('Seguimiento Semanal'!$C:$C,ROW()-4)))&lt;=ABS(AVERAGE(INDEX('Seguimiento Semanal'!$C:$C,ROW()-7):INDEX('Seguimiento Semanal'!$C:$C,ROW()-4)))*1%,"➡️ Estable",IF(B52&gt;AVERAGE(INDEX('Seguimiento Semanal'!$C:$C,ROW()-7):INDEX('Seguimiento Semanal'!$C:$C,ROW()-4)),"🔼 Subiendo","🔻 Bajando")),"N/A"))</f>
        <v>➡️ Estable</v>
      </c>
      <c r="D52" s="80">
        <f t="array" ref="D52">IFERROR(AVERAGE(INDEX('Seguimiento Semanal'!$E:$E,MAX(2,ROW()-3)):INDEX('Seguimiento Semanal'!$E:$E,ROW())),"")</f>
        <v>0</v>
      </c>
      <c r="E52" s="79" t="str">
        <f t="array" ref="E52">IF(ROW()&lt;9,"N/A",IFERROR(IF(ABS(D52-AVERAGE(INDEX('Seguimiento Semanal'!$E:$E,ROW()-7):INDEX('Seguimiento Semanal'!$E:$E,ROW()-4)))&lt;=ABS(AVERAGE(INDEX('Seguimiento Semanal'!$E:$E,ROW()-7):INDEX('Seguimiento Semanal'!$E:$E,ROW()-4)))*1%,"➡️ Estable",IF(D52&gt;AVERAGE(INDEX('Seguimiento Semanal'!$E:$E,ROW()-7):INDEX('Seguimiento Semanal'!$E:$E,ROW()-4)),"🔼 Subiendo","🔻 Bajando")),"N/A"))</f>
        <v>➡️ Estable</v>
      </c>
      <c r="F52" s="80">
        <f t="array" ref="F52">IFERROR(AVERAGE(INDEX('Seguimiento Semanal'!$G:$G,MAX(2,ROW()-3)):INDEX('Seguimiento Semanal'!$G:$G,ROW())),"")</f>
        <v>0</v>
      </c>
      <c r="G52" s="79" t="str">
        <f t="array" ref="G52">IF(ROW()&lt;9,"N/A",IFERROR(IF(ABS(F52-AVERAGE(INDEX('Seguimiento Semanal'!$G:$G,ROW()-7):INDEX('Seguimiento Semanal'!$G:$G,ROW()-4)))&lt;=ABS(AVERAGE(INDEX('Seguimiento Semanal'!$G:$G,ROW()-7):INDEX('Seguimiento Semanal'!$G:$G,ROW()-4)))*1%,"➡️ Estable",IF(F52&gt;AVERAGE(INDEX('Seguimiento Semanal'!$G:$G,ROW()-7):INDEX('Seguimiento Semanal'!$G:$G,ROW()-4)),"🔼 Subiendo","🔻 Bajando")),"N/A"))</f>
        <v>➡️ Estable</v>
      </c>
      <c r="H52" s="80">
        <f t="array" ref="H52">IFERROR(AVERAGE(INDEX('Seguimiento Semanal'!$I:$I,MAX(2,ROW()-3)):INDEX('Seguimiento Semanal'!$I:$I,ROW())),"")</f>
        <v>0</v>
      </c>
      <c r="I52" s="79" t="str">
        <f t="array" ref="I52">IF(ROW()&lt;9,"N/A",IFERROR(IF(ABS(H52-AVERAGE(INDEX('Seguimiento Semanal'!$I:$I,ROW()-7):INDEX('Seguimiento Semanal'!$I:$I,ROW()-4)))&lt;=ABS(AVERAGE(INDEX('Seguimiento Semanal'!$I:$I,ROW()-7):INDEX('Seguimiento Semanal'!$I:$I,ROW()-4)))*1%,"➡️ Estable",IF(H52&gt;AVERAGE(INDEX('Seguimiento Semanal'!$I:$I,ROW()-7):INDEX('Seguimiento Semanal'!$I:$I,ROW()-4)),"🔼 Subiendo","🔻 Bajando")),"N/A"))</f>
        <v>➡️ Estable</v>
      </c>
      <c r="J52" s="80">
        <f t="array" ref="J52">IFERROR(AVERAGE(INDEX('Seguimiento Semanal'!$K:$K,MAX(2,ROW()-3)):INDEX('Seguimiento Semanal'!$K:$K,ROW())),"")</f>
        <v>0</v>
      </c>
      <c r="K52" s="79" t="str">
        <f t="array" ref="K52">IF(ROW()&lt;9,"N/A",IFERROR(IF(ABS(J52-AVERAGE(INDEX('Seguimiento Semanal'!$K:$K,ROW()-7):INDEX('Seguimiento Semanal'!$K:$K,ROW()-4)))&lt;=ABS(AVERAGE(INDEX('Seguimiento Semanal'!$K:$K,ROW()-7):INDEX('Seguimiento Semanal'!$K:$K,ROW()-4)))*1%,"➡️ Estable",IF(J52&gt;AVERAGE(INDEX('Seguimiento Semanal'!$K:$K,ROW()-7):INDEX('Seguimiento Semanal'!$K:$K,ROW()-4)),"🔼 Subiendo","🔻 Bajando")),"N/A"))</f>
        <v>➡️ Estable</v>
      </c>
      <c r="L52" s="80">
        <f t="array" ref="L52">IFERROR(AVERAGE(INDEX('Seguimiento Semanal'!$M:$M,MAX(2,ROW()-3)):INDEX('Seguimiento Semanal'!$M:$M,ROW())),"")</f>
        <v>0</v>
      </c>
      <c r="M52" s="79" t="str">
        <f t="array" ref="M52">IF(ROW()&lt;9,"N/A",IFERROR(IF(ABS(L52-AVERAGE(INDEX('Seguimiento Semanal'!$M:$M,ROW()-7):INDEX('Seguimiento Semanal'!$M:$M,ROW()-4)))&lt;=ABS(AVERAGE(INDEX('Seguimiento Semanal'!$M:$M,ROW()-7):INDEX('Seguimiento Semanal'!$M:$M,ROW()-4)))*1%,"➡️ Estable",IF(L52&gt;AVERAGE(INDEX('Seguimiento Semanal'!$M:$M,ROW()-7):INDEX('Seguimiento Semanal'!$M:$M,ROW()-4)),"🔼 Subiendo","🔻 Bajando")),"N/A"))</f>
        <v>➡️ Estable</v>
      </c>
      <c r="N52" s="79">
        <f t="array" ref="N52">IFERROR(AVERAGE(INDEX('Seguimiento Semanal'!$N:$N,MAX(2,ROW()-3)):INDEX('Seguimiento Semanal'!$N:$N,ROW())),"")</f>
        <v>0</v>
      </c>
      <c r="O52" s="79" t="str">
        <f t="array" ref="O52">IF(ROW()&lt;9,"N/A",IFERROR(IF(ABS(N52-AVERAGE(INDEX('Seguimiento Semanal'!$N:$N,ROW()-7):INDEX('Seguimiento Semanal'!$N:$N,ROW()-4)))&lt;=ABS(AVERAGE(INDEX('Seguimiento Semanal'!$N:$N,ROW()-7):INDEX('Seguimiento Semanal'!$N:$N,ROW()-4)))*1%,"➡️ Estable",IF(N52&gt;AVERAGE(INDEX('Seguimiento Semanal'!$N:$N,ROW()-7):INDEX('Seguimiento Semanal'!$N:$N,ROW()-4)),"🔼 Subiendo","🔻 Bajando")),"N/A"))</f>
        <v>➡️ Estable</v>
      </c>
    </row>
    <row r="53" ht="15.75" customHeight="1">
      <c r="A53" s="79" t="str">
        <f>'Seguimiento Semanal'!A53</f>
        <v>Sem 52</v>
      </c>
      <c r="B53" s="79">
        <f t="array" ref="B53">IFERROR(AVERAGE(INDEX('Seguimiento Semanal'!$C:$C,MAX(2,ROW()-3)):INDEX('Seguimiento Semanal'!$C:$C,ROW())),"")</f>
        <v>0</v>
      </c>
      <c r="C53" s="79" t="str">
        <f t="array" ref="C53">IF(ROW()&lt;9,"N/A",IFERROR(IF(ABS(B53-AVERAGE(INDEX('Seguimiento Semanal'!$C:$C,ROW()-7):INDEX('Seguimiento Semanal'!$C:$C,ROW()-4)))&lt;=ABS(AVERAGE(INDEX('Seguimiento Semanal'!$C:$C,ROW()-7):INDEX('Seguimiento Semanal'!$C:$C,ROW()-4)))*1%,"➡️ Estable",IF(B53&gt;AVERAGE(INDEX('Seguimiento Semanal'!$C:$C,ROW()-7):INDEX('Seguimiento Semanal'!$C:$C,ROW()-4)),"🔼 Subiendo","🔻 Bajando")),"N/A"))</f>
        <v>➡️ Estable</v>
      </c>
      <c r="D53" s="80">
        <f t="array" ref="D53">IFERROR(AVERAGE(INDEX('Seguimiento Semanal'!$E:$E,MAX(2,ROW()-3)):INDEX('Seguimiento Semanal'!$E:$E,ROW())),"")</f>
        <v>0</v>
      </c>
      <c r="E53" s="79" t="str">
        <f t="array" ref="E53">IF(ROW()&lt;9,"N/A",IFERROR(IF(ABS(D53-AVERAGE(INDEX('Seguimiento Semanal'!$E:$E,ROW()-7):INDEX('Seguimiento Semanal'!$E:$E,ROW()-4)))&lt;=ABS(AVERAGE(INDEX('Seguimiento Semanal'!$E:$E,ROW()-7):INDEX('Seguimiento Semanal'!$E:$E,ROW()-4)))*1%,"➡️ Estable",IF(D53&gt;AVERAGE(INDEX('Seguimiento Semanal'!$E:$E,ROW()-7):INDEX('Seguimiento Semanal'!$E:$E,ROW()-4)),"🔼 Subiendo","🔻 Bajando")),"N/A"))</f>
        <v>➡️ Estable</v>
      </c>
      <c r="F53" s="80">
        <f t="array" ref="F53">IFERROR(AVERAGE(INDEX('Seguimiento Semanal'!$G:$G,MAX(2,ROW()-3)):INDEX('Seguimiento Semanal'!$G:$G,ROW())),"")</f>
        <v>0</v>
      </c>
      <c r="G53" s="79" t="str">
        <f t="array" ref="G53">IF(ROW()&lt;9,"N/A",IFERROR(IF(ABS(F53-AVERAGE(INDEX('Seguimiento Semanal'!$G:$G,ROW()-7):INDEX('Seguimiento Semanal'!$G:$G,ROW()-4)))&lt;=ABS(AVERAGE(INDEX('Seguimiento Semanal'!$G:$G,ROW()-7):INDEX('Seguimiento Semanal'!$G:$G,ROW()-4)))*1%,"➡️ Estable",IF(F53&gt;AVERAGE(INDEX('Seguimiento Semanal'!$G:$G,ROW()-7):INDEX('Seguimiento Semanal'!$G:$G,ROW()-4)),"🔼 Subiendo","🔻 Bajando")),"N/A"))</f>
        <v>➡️ Estable</v>
      </c>
      <c r="H53" s="80">
        <f t="array" ref="H53">IFERROR(AVERAGE(INDEX('Seguimiento Semanal'!$I:$I,MAX(2,ROW()-3)):INDEX('Seguimiento Semanal'!$I:$I,ROW())),"")</f>
        <v>0</v>
      </c>
      <c r="I53" s="79" t="str">
        <f t="array" ref="I53">IF(ROW()&lt;9,"N/A",IFERROR(IF(ABS(H53-AVERAGE(INDEX('Seguimiento Semanal'!$I:$I,ROW()-7):INDEX('Seguimiento Semanal'!$I:$I,ROW()-4)))&lt;=ABS(AVERAGE(INDEX('Seguimiento Semanal'!$I:$I,ROW()-7):INDEX('Seguimiento Semanal'!$I:$I,ROW()-4)))*1%,"➡️ Estable",IF(H53&gt;AVERAGE(INDEX('Seguimiento Semanal'!$I:$I,ROW()-7):INDEX('Seguimiento Semanal'!$I:$I,ROW()-4)),"🔼 Subiendo","🔻 Bajando")),"N/A"))</f>
        <v>➡️ Estable</v>
      </c>
      <c r="J53" s="80">
        <f t="array" ref="J53">IFERROR(AVERAGE(INDEX('Seguimiento Semanal'!$K:$K,MAX(2,ROW()-3)):INDEX('Seguimiento Semanal'!$K:$K,ROW())),"")</f>
        <v>0</v>
      </c>
      <c r="K53" s="79" t="str">
        <f t="array" ref="K53">IF(ROW()&lt;9,"N/A",IFERROR(IF(ABS(J53-AVERAGE(INDEX('Seguimiento Semanal'!$K:$K,ROW()-7):INDEX('Seguimiento Semanal'!$K:$K,ROW()-4)))&lt;=ABS(AVERAGE(INDEX('Seguimiento Semanal'!$K:$K,ROW()-7):INDEX('Seguimiento Semanal'!$K:$K,ROW()-4)))*1%,"➡️ Estable",IF(J53&gt;AVERAGE(INDEX('Seguimiento Semanal'!$K:$K,ROW()-7):INDEX('Seguimiento Semanal'!$K:$K,ROW()-4)),"🔼 Subiendo","🔻 Bajando")),"N/A"))</f>
        <v>➡️ Estable</v>
      </c>
      <c r="L53" s="80">
        <f t="array" ref="L53">IFERROR(AVERAGE(INDEX('Seguimiento Semanal'!$M:$M,MAX(2,ROW()-3)):INDEX('Seguimiento Semanal'!$M:$M,ROW())),"")</f>
        <v>0</v>
      </c>
      <c r="M53" s="79" t="str">
        <f t="array" ref="M53">IF(ROW()&lt;9,"N/A",IFERROR(IF(ABS(L53-AVERAGE(INDEX('Seguimiento Semanal'!$M:$M,ROW()-7):INDEX('Seguimiento Semanal'!$M:$M,ROW()-4)))&lt;=ABS(AVERAGE(INDEX('Seguimiento Semanal'!$M:$M,ROW()-7):INDEX('Seguimiento Semanal'!$M:$M,ROW()-4)))*1%,"➡️ Estable",IF(L53&gt;AVERAGE(INDEX('Seguimiento Semanal'!$M:$M,ROW()-7):INDEX('Seguimiento Semanal'!$M:$M,ROW()-4)),"🔼 Subiendo","🔻 Bajando")),"N/A"))</f>
        <v>➡️ Estable</v>
      </c>
      <c r="N53" s="79">
        <f t="array" ref="N53">IFERROR(AVERAGE(INDEX('Seguimiento Semanal'!$N:$N,MAX(2,ROW()-3)):INDEX('Seguimiento Semanal'!$N:$N,ROW())),"")</f>
        <v>0</v>
      </c>
      <c r="O53" s="79" t="str">
        <f t="array" ref="O53">IF(ROW()&lt;9,"N/A",IFERROR(IF(ABS(N53-AVERAGE(INDEX('Seguimiento Semanal'!$N:$N,ROW()-7):INDEX('Seguimiento Semanal'!$N:$N,ROW()-4)))&lt;=ABS(AVERAGE(INDEX('Seguimiento Semanal'!$N:$N,ROW()-7):INDEX('Seguimiento Semanal'!$N:$N,ROW()-4)))*1%,"➡️ Estable",IF(N53&gt;AVERAGE(INDEX('Seguimiento Semanal'!$N:$N,ROW()-7):INDEX('Seguimiento Semanal'!$N:$N,ROW()-4)),"🔼 Subiendo","🔻 Bajando")),"N/A"))</f>
        <v>➡️ Estable</v>
      </c>
    </row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tabColor rgb="FF674EA7"/>
    <pageSetUpPr/>
  </sheetPr>
  <sheetViews>
    <sheetView workbookViewId="0"/>
  </sheetViews>
  <sheetFormatPr customHeight="1" defaultColWidth="12.63" defaultRowHeight="15.0"/>
  <cols>
    <col customWidth="1" min="1" max="1" width="26.13"/>
    <col customWidth="1" min="2" max="2" width="6.38"/>
    <col customWidth="1" min="3" max="3" width="7.0"/>
    <col customWidth="1" min="4" max="4" width="42.0"/>
    <col customWidth="1" min="5" max="6" width="8.75"/>
    <col customWidth="1" min="7" max="26" width="14.38"/>
  </cols>
  <sheetData>
    <row r="1">
      <c r="A1" s="81" t="s">
        <v>24</v>
      </c>
      <c r="B1" s="81" t="s">
        <v>178</v>
      </c>
      <c r="C1" s="81" t="s">
        <v>179</v>
      </c>
      <c r="D1" s="81" t="s">
        <v>180</v>
      </c>
    </row>
    <row r="2">
      <c r="A2" s="82" t="s">
        <v>6</v>
      </c>
      <c r="B2" s="83">
        <v>0.5</v>
      </c>
      <c r="C2" s="82" t="s">
        <v>181</v>
      </c>
      <c r="D2" s="82" t="s">
        <v>182</v>
      </c>
    </row>
    <row r="3">
      <c r="A3" s="82" t="s">
        <v>8</v>
      </c>
      <c r="B3" s="83">
        <v>0.15</v>
      </c>
      <c r="C3" s="82" t="s">
        <v>181</v>
      </c>
      <c r="D3" s="82" t="s">
        <v>183</v>
      </c>
    </row>
    <row r="4">
      <c r="A4" s="82" t="s">
        <v>10</v>
      </c>
      <c r="B4" s="83">
        <v>0.1</v>
      </c>
      <c r="C4" s="82" t="s">
        <v>181</v>
      </c>
      <c r="D4" s="82" t="s">
        <v>184</v>
      </c>
    </row>
    <row r="5">
      <c r="A5" s="82" t="s">
        <v>12</v>
      </c>
      <c r="B5" s="83">
        <v>0.7</v>
      </c>
      <c r="C5" s="82" t="s">
        <v>181</v>
      </c>
      <c r="D5" s="82" t="s">
        <v>185</v>
      </c>
    </row>
    <row r="6">
      <c r="A6" s="82" t="s">
        <v>14</v>
      </c>
      <c r="B6" s="83">
        <v>0.7</v>
      </c>
      <c r="C6" s="82" t="s">
        <v>181</v>
      </c>
      <c r="D6" s="82" t="s">
        <v>186</v>
      </c>
    </row>
    <row r="7">
      <c r="A7" s="82" t="s">
        <v>177</v>
      </c>
      <c r="B7" s="84">
        <v>3750.0</v>
      </c>
      <c r="C7" s="82" t="s">
        <v>72</v>
      </c>
      <c r="D7" s="82" t="s">
        <v>187</v>
      </c>
    </row>
    <row r="8">
      <c r="A8" s="82" t="s">
        <v>188</v>
      </c>
      <c r="B8" s="84">
        <v>1.0</v>
      </c>
      <c r="C8" s="82" t="s">
        <v>181</v>
      </c>
      <c r="D8" s="82" t="s">
        <v>189</v>
      </c>
    </row>
    <row r="9">
      <c r="A9" s="82" t="s">
        <v>190</v>
      </c>
      <c r="B9" s="84">
        <v>3500.0</v>
      </c>
      <c r="C9" s="82" t="s">
        <v>72</v>
      </c>
      <c r="D9" s="82" t="s">
        <v>191</v>
      </c>
    </row>
    <row r="10">
      <c r="A10" s="82" t="s">
        <v>192</v>
      </c>
      <c r="B10" s="85">
        <v>24000.0</v>
      </c>
      <c r="C10" s="82" t="s">
        <v>193</v>
      </c>
      <c r="D10" s="82" t="s">
        <v>194</v>
      </c>
    </row>
    <row r="11">
      <c r="A11" s="82" t="s">
        <v>195</v>
      </c>
      <c r="B11" s="86">
        <f>$B$8*$B$2</f>
        <v>0.5</v>
      </c>
      <c r="C11" s="82" t="s">
        <v>196</v>
      </c>
      <c r="D11" s="82" t="s">
        <v>197</v>
      </c>
    </row>
    <row r="12">
      <c r="A12" s="82" t="s">
        <v>198</v>
      </c>
      <c r="B12" s="86">
        <f>$B$11*$B$3</f>
        <v>0.075</v>
      </c>
      <c r="C12" s="82" t="s">
        <v>196</v>
      </c>
      <c r="D12" s="82" t="s">
        <v>199</v>
      </c>
    </row>
    <row r="13">
      <c r="A13" s="82" t="s">
        <v>200</v>
      </c>
      <c r="B13" s="86">
        <f>$B$12*$B$4</f>
        <v>0.0075</v>
      </c>
      <c r="C13" s="82" t="s">
        <v>196</v>
      </c>
      <c r="D13" s="82" t="s">
        <v>201</v>
      </c>
    </row>
    <row r="14">
      <c r="A14" s="82" t="s">
        <v>202</v>
      </c>
      <c r="B14" s="86">
        <f>$B$13*$B$5</f>
        <v>0.00525</v>
      </c>
      <c r="C14" s="82" t="s">
        <v>196</v>
      </c>
      <c r="D14" s="82" t="s">
        <v>203</v>
      </c>
    </row>
    <row r="15">
      <c r="A15" s="82" t="s">
        <v>204</v>
      </c>
      <c r="B15" s="86">
        <f>$B$14*$B$6</f>
        <v>0.003675</v>
      </c>
      <c r="C15" s="82" t="s">
        <v>196</v>
      </c>
      <c r="D15" s="82" t="s">
        <v>205</v>
      </c>
    </row>
    <row r="17">
      <c r="A17" s="87" t="s">
        <v>206</v>
      </c>
      <c r="B17" s="87" t="s">
        <v>207</v>
      </c>
      <c r="C17" s="87"/>
      <c r="D17" s="87"/>
    </row>
    <row r="18">
      <c r="A18" s="87" t="s">
        <v>208</v>
      </c>
      <c r="B18" s="87" t="s">
        <v>209</v>
      </c>
      <c r="C18" s="87"/>
      <c r="D18" s="87"/>
    </row>
    <row r="20">
      <c r="A20" s="88" t="s">
        <v>210</v>
      </c>
      <c r="B20" s="89">
        <v>46167.0</v>
      </c>
      <c r="C20" s="88" t="s">
        <v>0</v>
      </c>
      <c r="D20" s="88" t="s">
        <v>211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